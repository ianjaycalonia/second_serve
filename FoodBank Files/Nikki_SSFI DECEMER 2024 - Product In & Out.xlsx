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lissecatalan/Downloads/"/>
    </mc:Choice>
  </mc:AlternateContent>
  <xr:revisionPtr revIDLastSave="0" documentId="13_ncr:1_{DE2FF034-E237-B741-88D9-5E313E749E8F}" xr6:coauthVersionLast="47" xr6:coauthVersionMax="47" xr10:uidLastSave="{00000000-0000-0000-0000-000000000000}"/>
  <bookViews>
    <workbookView xWindow="2840" yWindow="1960" windowWidth="27880" windowHeight="19580" tabRatio="730" firstSheet="1" activeTab="1" xr2:uid="{00000000-000D-0000-FFFF-FFFF00000000}"/>
  </bookViews>
  <sheets>
    <sheet name="HOW TO USE" sheetId="11" r:id="rId1"/>
    <sheet name="VIEW ONLY Dashboard" sheetId="4" r:id="rId2"/>
    <sheet name="VIEW ONLY Realtime Inventory" sheetId="10" state="hidden" r:id="rId3"/>
    <sheet name="Beneficiary Agency Database" sheetId="8" r:id="rId4"/>
    <sheet name="Food Donor Database" sheetId="5" r:id="rId5"/>
    <sheet name="Product In" sheetId="6" r:id="rId6"/>
    <sheet name="Product Out" sheetId="7" r:id="rId7"/>
    <sheet name="Do Not Edit" sheetId="9" r:id="rId8"/>
  </sheets>
  <definedNames>
    <definedName name="_xlnm._FilterDatabase" localSheetId="7" hidden="1">'Do Not Edit'!$A$1:$A$7</definedName>
    <definedName name="_xlnm._FilterDatabase" localSheetId="5" hidden="1">'Product In'!$A$4:$M$212</definedName>
    <definedName name="_xlnm._FilterDatabase" localSheetId="6" hidden="1">'Product Out'!$A$4:$H$191</definedName>
    <definedName name="_xlnm._FilterDatabase" localSheetId="1" hidden="1">'VIEW ONLY Dashboard'!$D$61:$E$155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4" l="1"/>
  <c r="D13" i="6"/>
  <c r="B63" i="4" l="1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62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K15" i="6"/>
  <c r="K16" i="6"/>
  <c r="K17" i="6"/>
  <c r="K18" i="6"/>
  <c r="K19" i="6"/>
  <c r="K20" i="6"/>
  <c r="K21" i="6"/>
  <c r="K14" i="6"/>
  <c r="K5" i="6"/>
  <c r="K6" i="6"/>
  <c r="K7" i="6"/>
  <c r="K8" i="6"/>
  <c r="K9" i="6"/>
  <c r="K11" i="6"/>
  <c r="K74" i="6"/>
  <c r="K12" i="6"/>
  <c r="K13" i="6"/>
  <c r="K75" i="6"/>
  <c r="K51" i="6"/>
  <c r="K52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76" i="6"/>
  <c r="K77" i="6"/>
  <c r="K35" i="6"/>
  <c r="K36" i="6"/>
  <c r="K37" i="6"/>
  <c r="K38" i="6"/>
  <c r="K39" i="6"/>
  <c r="K40" i="6"/>
  <c r="K41" i="6"/>
  <c r="K42" i="6"/>
  <c r="K43" i="6"/>
  <c r="K44" i="6"/>
  <c r="K45" i="6"/>
  <c r="K78" i="6"/>
  <c r="K79" i="6"/>
  <c r="K80" i="6"/>
  <c r="K81" i="6"/>
  <c r="K53" i="6"/>
  <c r="K54" i="6"/>
  <c r="K82" i="6"/>
  <c r="K55" i="6"/>
  <c r="K83" i="6"/>
  <c r="K56" i="6"/>
  <c r="K84" i="6"/>
  <c r="K57" i="6"/>
  <c r="K85" i="6"/>
  <c r="K58" i="6"/>
  <c r="K86" i="6"/>
  <c r="K87" i="6"/>
  <c r="K59" i="6"/>
  <c r="K60" i="6"/>
  <c r="K88" i="6"/>
  <c r="K89" i="6"/>
  <c r="K61" i="6"/>
  <c r="K90" i="6"/>
  <c r="K91" i="6"/>
  <c r="K92" i="6"/>
  <c r="K62" i="6"/>
  <c r="K63" i="6"/>
  <c r="K64" i="6"/>
  <c r="K93" i="6"/>
  <c r="K94" i="6"/>
  <c r="K65" i="6"/>
  <c r="K66" i="6"/>
  <c r="K67" i="6"/>
  <c r="K95" i="6"/>
  <c r="K96" i="6"/>
  <c r="K68" i="6"/>
  <c r="K97" i="6"/>
  <c r="K69" i="6"/>
  <c r="K98" i="6"/>
  <c r="K99" i="6"/>
  <c r="K100" i="6"/>
  <c r="K101" i="6"/>
  <c r="K102" i="6"/>
  <c r="K103" i="6"/>
  <c r="K104" i="6"/>
  <c r="K105" i="6"/>
  <c r="K106" i="6"/>
  <c r="K70" i="6"/>
  <c r="K107" i="6"/>
  <c r="K108" i="6"/>
  <c r="K109" i="6"/>
  <c r="K110" i="6"/>
  <c r="K111" i="6"/>
  <c r="K112" i="6"/>
  <c r="K113" i="6"/>
  <c r="D9" i="6" l="1"/>
  <c r="D8" i="6"/>
  <c r="D7" i="6"/>
  <c r="D5" i="6"/>
  <c r="D6" i="6"/>
  <c r="D12" i="6"/>
  <c r="D11" i="6"/>
  <c r="D114" i="6"/>
  <c r="D115" i="6"/>
  <c r="D14" i="6"/>
  <c r="D18" i="6"/>
  <c r="D15" i="6"/>
  <c r="D16" i="6"/>
  <c r="D17" i="6"/>
  <c r="D21" i="6"/>
  <c r="D20" i="6"/>
  <c r="D19" i="6"/>
  <c r="D34" i="6"/>
  <c r="D32" i="6"/>
  <c r="D36" i="6"/>
  <c r="D37" i="6"/>
  <c r="D35" i="6"/>
  <c r="D22" i="6"/>
  <c r="D40" i="6"/>
  <c r="D41" i="6"/>
  <c r="D28" i="6"/>
  <c r="D23" i="6"/>
  <c r="D29" i="6"/>
  <c r="D31" i="6"/>
  <c r="D42" i="6"/>
  <c r="D30" i="6"/>
  <c r="D24" i="6"/>
  <c r="D43" i="6"/>
  <c r="D25" i="6"/>
  <c r="D38" i="6"/>
  <c r="D26" i="6"/>
  <c r="D27" i="6"/>
  <c r="D44" i="6"/>
  <c r="D39" i="6"/>
  <c r="D33" i="6"/>
  <c r="D45" i="6"/>
  <c r="D46" i="6"/>
  <c r="D47" i="6"/>
  <c r="D48" i="6"/>
  <c r="D57" i="6"/>
  <c r="D68" i="6"/>
  <c r="D69" i="6"/>
  <c r="D49" i="6"/>
  <c r="D63" i="6"/>
  <c r="D62" i="6"/>
  <c r="D54" i="6"/>
  <c r="D64" i="6"/>
  <c r="D66" i="6"/>
  <c r="D65" i="6"/>
  <c r="D50" i="6"/>
  <c r="D59" i="6"/>
  <c r="D52" i="6"/>
  <c r="D51" i="6"/>
  <c r="D55" i="6"/>
  <c r="D58" i="6"/>
  <c r="D53" i="6"/>
  <c r="D67" i="6"/>
  <c r="D56" i="6"/>
  <c r="D61" i="6"/>
  <c r="D60" i="6"/>
  <c r="D70" i="6"/>
  <c r="D95" i="6"/>
  <c r="D79" i="6"/>
  <c r="D85" i="6"/>
  <c r="D99" i="6"/>
  <c r="D107" i="6"/>
  <c r="D102" i="6"/>
  <c r="D78" i="6"/>
  <c r="D76" i="6"/>
  <c r="D71" i="6"/>
  <c r="D88" i="6"/>
  <c r="D87" i="6"/>
  <c r="D81" i="6"/>
  <c r="D90" i="6"/>
  <c r="D93" i="6"/>
  <c r="D96" i="6"/>
  <c r="D80" i="6"/>
  <c r="D103" i="6"/>
  <c r="D101" i="6"/>
  <c r="D109" i="6"/>
  <c r="D86" i="6"/>
  <c r="D77" i="6"/>
  <c r="D72" i="6"/>
  <c r="D82" i="6"/>
  <c r="D91" i="6"/>
  <c r="D92" i="6"/>
  <c r="D73" i="6"/>
  <c r="D84" i="6"/>
  <c r="D94" i="6"/>
  <c r="D100" i="6"/>
  <c r="D98" i="6"/>
  <c r="D106" i="6"/>
  <c r="D112" i="6"/>
  <c r="D113" i="6"/>
  <c r="D89" i="6"/>
  <c r="D108" i="6"/>
  <c r="D75" i="6"/>
  <c r="D83" i="6"/>
  <c r="D74" i="6"/>
  <c r="D104" i="6"/>
  <c r="D110" i="6"/>
  <c r="D97" i="6"/>
  <c r="D111" i="6"/>
  <c r="D105" i="6"/>
  <c r="D10" i="6"/>
  <c r="F63" i="4" l="1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E62" i="4"/>
  <c r="J52" i="4"/>
  <c r="J53" i="4"/>
  <c r="J54" i="4"/>
  <c r="J55" i="4"/>
  <c r="B39" i="4"/>
  <c r="G22" i="4"/>
  <c r="B40" i="4"/>
  <c r="B14" i="10"/>
  <c r="B23" i="10"/>
  <c r="G40" i="4" l="1"/>
  <c r="E28" i="4"/>
  <c r="E26" i="4"/>
  <c r="B84" i="4"/>
  <c r="J51" i="4"/>
  <c r="E24" i="4"/>
  <c r="E23" i="4"/>
  <c r="B41" i="4"/>
  <c r="B20" i="10"/>
  <c r="E27" i="4"/>
  <c r="E25" i="4"/>
  <c r="E22" i="4"/>
  <c r="B25" i="4"/>
  <c r="B24" i="10"/>
  <c r="B28" i="4"/>
  <c r="B8" i="10"/>
  <c r="B24" i="4"/>
  <c r="B10" i="10"/>
  <c r="B19" i="10"/>
  <c r="B9" i="10"/>
  <c r="B7" i="10"/>
  <c r="B15" i="10"/>
  <c r="B17" i="10"/>
  <c r="B13" i="10"/>
  <c r="B22" i="10"/>
  <c r="B21" i="10"/>
  <c r="B16" i="10"/>
  <c r="B6" i="10"/>
  <c r="B12" i="10"/>
  <c r="B11" i="10"/>
  <c r="B5" i="10"/>
  <c r="B30" i="4"/>
  <c r="E21" i="4"/>
  <c r="B35" i="4"/>
  <c r="B37" i="4"/>
  <c r="B34" i="4"/>
  <c r="B29" i="4"/>
  <c r="B31" i="4"/>
  <c r="B32" i="4"/>
  <c r="B36" i="4"/>
  <c r="B21" i="4"/>
  <c r="B26" i="4"/>
  <c r="B33" i="4"/>
  <c r="B38" i="4"/>
  <c r="B22" i="4"/>
  <c r="B23" i="4"/>
  <c r="B43" i="4" l="1"/>
  <c r="G35" i="4"/>
  <c r="G21" i="4" l="1"/>
  <c r="G36" i="4" s="1"/>
  <c r="B18" i="10"/>
  <c r="B27" i="4"/>
  <c r="B42" i="4" s="1"/>
  <c r="C27" i="4" l="1"/>
  <c r="C26" i="4"/>
  <c r="C37" i="4"/>
  <c r="C40" i="4"/>
  <c r="C28" i="4"/>
  <c r="C41" i="4"/>
  <c r="C25" i="4"/>
  <c r="C23" i="4"/>
  <c r="C36" i="4"/>
  <c r="G34" i="4"/>
  <c r="C34" i="4"/>
  <c r="C22" i="4"/>
  <c r="C24" i="4"/>
  <c r="C35" i="4"/>
  <c r="C39" i="4"/>
  <c r="C30" i="4"/>
  <c r="C38" i="4"/>
  <c r="C29" i="4"/>
  <c r="C31" i="4"/>
  <c r="C33" i="4"/>
  <c r="C32" i="4"/>
  <c r="C21" i="4"/>
  <c r="C62" i="4" l="1"/>
  <c r="C65" i="4"/>
  <c r="C69" i="4"/>
  <c r="C82" i="4"/>
  <c r="C68" i="4"/>
  <c r="C77" i="4"/>
  <c r="C71" i="4"/>
  <c r="C67" i="4"/>
  <c r="C70" i="4"/>
  <c r="C66" i="4"/>
  <c r="C76" i="4"/>
  <c r="C75" i="4"/>
  <c r="C81" i="4"/>
  <c r="C79" i="4"/>
  <c r="C74" i="4"/>
  <c r="C80" i="4"/>
  <c r="C64" i="4"/>
  <c r="C78" i="4"/>
  <c r="C73" i="4"/>
  <c r="C72" i="4"/>
  <c r="C63" i="4"/>
  <c r="B83" i="4"/>
  <c r="J49" i="4" s="1"/>
  <c r="G39" i="4"/>
  <c r="B2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tc={E5545BBD-29BE-464F-8A6F-77281CC6939A}</author>
  </authors>
  <commentList>
    <comment ref="J51" authorId="0" shapeId="0" xr:uid="{E5545BBD-29BE-464F-8A6F-77281CC69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info on new Beneficiary Agencies highlighted in Red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tc={DA7D5FB4-0322-4C80-85CF-081AE60BBAF2}</author>
  </authors>
  <commentList>
    <comment ref="D246" authorId="0" shapeId="0" xr:uid="{DA7D5FB4-0322-4C80-85CF-081AE60BBA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filled out, hence Product Distributed chart was inaccurate</t>
      </text>
    </comment>
  </commentList>
</comments>
</file>

<file path=xl/sharedStrings.xml><?xml version="1.0" encoding="utf-8"?>
<sst xmlns="http://schemas.openxmlformats.org/spreadsheetml/2006/main" count="2244" uniqueCount="641">
  <si>
    <t>Food Bank</t>
  </si>
  <si>
    <t>Year</t>
  </si>
  <si>
    <t>Donor</t>
  </si>
  <si>
    <t>Product Category</t>
  </si>
  <si>
    <t>Product Name</t>
  </si>
  <si>
    <t>Quantity</t>
  </si>
  <si>
    <t>Expiry Date</t>
  </si>
  <si>
    <t>Weight (kg)</t>
  </si>
  <si>
    <t>Mondelez</t>
  </si>
  <si>
    <t>San Miguel</t>
  </si>
  <si>
    <t>Del Monte</t>
  </si>
  <si>
    <t>Dairy</t>
  </si>
  <si>
    <t>Fats &amp; Oils</t>
  </si>
  <si>
    <t>Fruits &amp; Vegetables</t>
  </si>
  <si>
    <t>Confectionary</t>
  </si>
  <si>
    <t>Bakery</t>
  </si>
  <si>
    <t>Grains/Grain Products</t>
  </si>
  <si>
    <t>Processed Cereals/Cereal Products</t>
  </si>
  <si>
    <t>Special Nutritional Uses</t>
  </si>
  <si>
    <t>Protein - Animal Based</t>
  </si>
  <si>
    <t>Ready-To-Eat Savouries</t>
  </si>
  <si>
    <t>Sauces/Condiments/Seasonings</t>
  </si>
  <si>
    <t>Beverage - Water</t>
  </si>
  <si>
    <t>Beverage - Juices/Coffee/Tea</t>
  </si>
  <si>
    <t>Beverage - Sweetened Beverages</t>
  </si>
  <si>
    <t>Prepared Foods</t>
  </si>
  <si>
    <t>Sweeteners</t>
  </si>
  <si>
    <t>Donor Category</t>
  </si>
  <si>
    <t>Agriculture</t>
  </si>
  <si>
    <t>Packer/Shipper/Wholesaler</t>
  </si>
  <si>
    <t>Market/Distributor/Supplier</t>
  </si>
  <si>
    <t>Manufacturer/Processor</t>
  </si>
  <si>
    <t>Retailer</t>
  </si>
  <si>
    <t>Food Services</t>
  </si>
  <si>
    <t>Supply Chain Intermediaries</t>
  </si>
  <si>
    <t>Donated/Purchased</t>
  </si>
  <si>
    <t>Rise Against Hunger Philippines</t>
  </si>
  <si>
    <t>Others</t>
  </si>
  <si>
    <t>Product Category (dropdown)</t>
  </si>
  <si>
    <t>Donated/Purchased (dropdown)</t>
  </si>
  <si>
    <t>Cebu Food Bank</t>
  </si>
  <si>
    <t>Donated</t>
  </si>
  <si>
    <t>Purchased</t>
  </si>
  <si>
    <t>Beneficiary Agency</t>
  </si>
  <si>
    <t>Food pantry/foodshelf/grocery distribution:organization that providesfood and grocery productsdirectly to individuals for theiruse at home.</t>
  </si>
  <si>
    <t>Congregate meal site:organizations that offer mealsto be eaten on-site but thebeneficiaries do not live there(for example, soup kitchens,community centers, drop-inprograms for seniors, etc.).</t>
  </si>
  <si>
    <t>Shelter: temporary housingsituation, homeless shelter,abused women’s shelter,group homes.</t>
  </si>
  <si>
    <t>Child-specific program:school, daycare, group home,orphanage, summer camp.</t>
  </si>
  <si>
    <t>Health/Medical: clinics,hospitals, nutrition hubs</t>
  </si>
  <si>
    <t>Mixed: offering a combinationof multiple services/programslisted above.</t>
  </si>
  <si>
    <t>Telephone Number</t>
  </si>
  <si>
    <t>Email</t>
  </si>
  <si>
    <t>Person in charge</t>
  </si>
  <si>
    <t>Address</t>
  </si>
  <si>
    <t>Last Update of Information / Audit</t>
  </si>
  <si>
    <t># of Male, under 18</t>
  </si>
  <si>
    <t># of Male, 18 to 60</t>
  </si>
  <si>
    <t># of Female, under 18</t>
  </si>
  <si>
    <t># of Female, 18 to 60</t>
  </si>
  <si>
    <t xml:space="preserve"># of Female, 60+ </t>
  </si>
  <si>
    <t># of Male, 60+</t>
  </si>
  <si>
    <t>Total number of individuals served</t>
  </si>
  <si>
    <t>Product Category 
(do not add/change)</t>
  </si>
  <si>
    <t>Donated / Purchased
(do not add/change)</t>
  </si>
  <si>
    <r>
      <t xml:space="preserve">Donor Category
</t>
    </r>
    <r>
      <rPr>
        <b/>
        <sz val="11"/>
        <color rgb="FFFF0000"/>
        <rFont val="Aptos Narrow"/>
        <family val="2"/>
        <scheme val="minor"/>
      </rPr>
      <t>- Assign donor category to every donor company</t>
    </r>
  </si>
  <si>
    <r>
      <t xml:space="preserve">Donor
</t>
    </r>
    <r>
      <rPr>
        <b/>
        <sz val="11"/>
        <color rgb="FFFF0000"/>
        <rFont val="Aptos Narrow"/>
        <family val="2"/>
        <scheme val="minor"/>
      </rPr>
      <t>- Add any new donor companies to this list</t>
    </r>
  </si>
  <si>
    <t>Beneficiary Agency Category
(do not add/change)</t>
  </si>
  <si>
    <t>Donor Category
(do not add/change)</t>
  </si>
  <si>
    <t>The Purefoods Hormel Co Inc</t>
  </si>
  <si>
    <t>Magnolia Phil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</si>
  <si>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</si>
  <si>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</si>
  <si>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</si>
  <si>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</si>
  <si>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</si>
  <si>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</si>
  <si>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</si>
  <si>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</si>
  <si>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</si>
  <si>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</si>
  <si>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</si>
  <si>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</si>
  <si>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</si>
  <si>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r>
      <t xml:space="preserve">Beneficiary Agency Name
</t>
    </r>
    <r>
      <rPr>
        <b/>
        <sz val="11"/>
        <color rgb="FFFF0000"/>
        <rFont val="Aptos Narrow"/>
        <family val="2"/>
        <scheme val="minor"/>
      </rPr>
      <t>- Add any new beneficiary agencies to this list</t>
    </r>
  </si>
  <si>
    <r>
      <t xml:space="preserve">Beneficiary Agency Category
</t>
    </r>
    <r>
      <rPr>
        <b/>
        <sz val="11"/>
        <color rgb="FFFF0000"/>
        <rFont val="Aptos Narrow"/>
        <family val="2"/>
        <scheme val="minor"/>
      </rPr>
      <t>- Assign category to every beneficiary agency</t>
    </r>
  </si>
  <si>
    <t>Staff in charge</t>
  </si>
  <si>
    <t>Realtime Inventory</t>
  </si>
  <si>
    <t>DO NOT EDIT THIS SHEET. NUMBERS ARE AUTOMATICALLY DRAWN FROM "PRODUCT IN" AND "PRODUCT OUT".</t>
  </si>
  <si>
    <t>DO NOT EDIT THIS SHEET. NUMBERS ARE AUTOMATICALLY DRAWN FROM THE 4 COLORED SHEETS.</t>
  </si>
  <si>
    <t>Last updated</t>
  </si>
  <si>
    <t>DO NOT EDIT THIS SHEET.</t>
  </si>
  <si>
    <t>Stocks on hand (kg)</t>
  </si>
  <si>
    <t>Total inventory by weight:</t>
  </si>
  <si>
    <t>Donor Category 
(automatically filled)</t>
  </si>
  <si>
    <t>Beneficiary Agencies Served</t>
  </si>
  <si>
    <t>Bread, cakes, cookies.</t>
  </si>
  <si>
    <t>Sweets, ice cream, candies, sorbets, jams/jellies, sweetened condensed milk.</t>
  </si>
  <si>
    <t>Cheese/cheese products, paneer, yogurt, etc., including dairy beverages like milk and drinkable yogurt. Excluding plant-based beverages, dairy desserts, condensed milk, cream and ice creams.</t>
  </si>
  <si>
    <t>Cooking oil, cream, butter.</t>
  </si>
  <si>
    <t>Including roots and tubers (for example, potato, cassava, yam) and salads.</t>
  </si>
  <si>
    <t>Rice, wheat, maize, sorghum, millet, etc., ﬂour of all kinds, barley, plain pasta/noodles (excluding ready-to-eat).</t>
  </si>
  <si>
    <t>Ready-to-eat meals, soups, ready-to-eat instant noodles, frozen meals, catering</t>
  </si>
  <si>
    <t>Meat and meat products, ﬁsh and ﬁsh products, and eggs.</t>
  </si>
  <si>
    <t>Breakfast cereals, infant cereals, granola bars, breakfast bars, pancake mix.</t>
  </si>
  <si>
    <t>Crackers, chips.</t>
  </si>
  <si>
    <t>Baby formula, nutrition supplement drinks like Ensure.</t>
  </si>
  <si>
    <t>Soda or sugary drinks (not plant-based juices).</t>
  </si>
  <si>
    <t>Juices, coﬀee, tea, nut or plant based and non- dairy.</t>
  </si>
  <si>
    <t>Examples</t>
  </si>
  <si>
    <t>Unit (Packet/Bottle/Pieces)</t>
  </si>
  <si>
    <t>BigBlue</t>
  </si>
  <si>
    <t>Steps</t>
  </si>
  <si>
    <t>By</t>
  </si>
  <si>
    <t>How often to update</t>
  </si>
  <si>
    <t>Update whenever you have a new Donor</t>
  </si>
  <si>
    <t>Update whenever you have a new Beneficiary Agency
Review information with Beneficiary Agencies every year, and update the list with their latest information</t>
  </si>
  <si>
    <t>Daily</t>
  </si>
  <si>
    <t>Operations</t>
  </si>
  <si>
    <t>Food Sourcing</t>
  </si>
  <si>
    <r>
      <t xml:space="preserve">Fill out list of Beneficiary Agencies you are serving, in the </t>
    </r>
    <r>
      <rPr>
        <b/>
        <sz val="11"/>
        <color theme="1"/>
        <rFont val="Aptos Narrow"/>
        <family val="2"/>
        <scheme val="minor"/>
      </rPr>
      <t>"Beneficiary Agency Database"</t>
    </r>
    <r>
      <rPr>
        <sz val="11"/>
        <color theme="1"/>
        <rFont val="Aptos Narrow"/>
        <family val="2"/>
        <scheme val="minor"/>
      </rPr>
      <t xml:space="preserve"> sheet</t>
    </r>
  </si>
  <si>
    <r>
      <t>Fill out list of Donors you are receiving donations from, in the</t>
    </r>
    <r>
      <rPr>
        <b/>
        <sz val="11"/>
        <color theme="1"/>
        <rFont val="Aptos Narrow"/>
        <family val="2"/>
        <scheme val="minor"/>
      </rPr>
      <t xml:space="preserve"> "Food Donor Database"</t>
    </r>
    <r>
      <rPr>
        <sz val="11"/>
        <color theme="1"/>
        <rFont val="Aptos Narrow"/>
        <family val="2"/>
        <scheme val="minor"/>
      </rPr>
      <t xml:space="preserve"> sheet</t>
    </r>
  </si>
  <si>
    <r>
      <t xml:space="preserve">Record all incoming donations in </t>
    </r>
    <r>
      <rPr>
        <b/>
        <sz val="11"/>
        <color theme="1"/>
        <rFont val="Aptos Narrow"/>
        <family val="2"/>
        <scheme val="minor"/>
      </rPr>
      <t>"Product In"</t>
    </r>
    <r>
      <rPr>
        <sz val="11"/>
        <color theme="1"/>
        <rFont val="Aptos Narrow"/>
        <family val="2"/>
        <scheme val="minor"/>
      </rPr>
      <t xml:space="preserve"> sheet</t>
    </r>
  </si>
  <si>
    <r>
      <t xml:space="preserve">Record all outgoing distributions in </t>
    </r>
    <r>
      <rPr>
        <b/>
        <sz val="11"/>
        <color theme="1"/>
        <rFont val="Aptos Narrow"/>
        <family val="2"/>
        <scheme val="minor"/>
      </rPr>
      <t>"Product Out"</t>
    </r>
    <r>
      <rPr>
        <sz val="11"/>
        <color theme="1"/>
        <rFont val="Aptos Narrow"/>
        <family val="2"/>
        <scheme val="minor"/>
      </rPr>
      <t xml:space="preserve"> sheet</t>
    </r>
  </si>
  <si>
    <t>ROBINSONS TABUNOK</t>
  </si>
  <si>
    <t>ROBINSONS FUENTE</t>
  </si>
  <si>
    <t>ROBINSONS PUEBLO</t>
  </si>
  <si>
    <t>ROBINSONS BASELINE</t>
  </si>
  <si>
    <t>ROBINSON MINGLANILLA</t>
  </si>
  <si>
    <t>ROBINSONS TALAMBAN</t>
  </si>
  <si>
    <t>ROBINSONS BANILAD</t>
  </si>
  <si>
    <t>ROBINSONS MACTAN</t>
  </si>
  <si>
    <t>ROBINSONS TALISAY</t>
  </si>
  <si>
    <t>ROBINSONS GUADALUPE</t>
  </si>
  <si>
    <t>Katherine Galgo</t>
  </si>
  <si>
    <t>Michelle Perez</t>
  </si>
  <si>
    <t>Reah Pioquinto</t>
  </si>
  <si>
    <t>Marites Aloro</t>
  </si>
  <si>
    <t>Dhanie Ditasolo</t>
  </si>
  <si>
    <t>Benjamin Dalmacion</t>
  </si>
  <si>
    <t>Louie Barro</t>
  </si>
  <si>
    <t>Razilee Tan</t>
  </si>
  <si>
    <t>Jerrylen</t>
  </si>
  <si>
    <t>Iris Maligat</t>
  </si>
  <si>
    <t>The SleepCompany</t>
  </si>
  <si>
    <t>Emma Sleep</t>
  </si>
  <si>
    <t>Leslie Macalolooy</t>
  </si>
  <si>
    <t>Non-Food - Personal Hygiene</t>
  </si>
  <si>
    <t>Non-Food - Cleaning Products</t>
  </si>
  <si>
    <t>Non-Food - Baby Products</t>
  </si>
  <si>
    <t>Non-Food - Others</t>
  </si>
  <si>
    <t>Claire</t>
  </si>
  <si>
    <t>Date Distributed
DD-MMM-YY</t>
  </si>
  <si>
    <t>Month
(dropdown)</t>
  </si>
  <si>
    <t>FOR GFN MONTHLY REPORTING</t>
  </si>
  <si>
    <t>Total Number of Kilos Distributed</t>
  </si>
  <si>
    <t>Total Number of Agencies Served</t>
  </si>
  <si>
    <t>Total Number of People Served</t>
  </si>
  <si>
    <t>Kilograms Dairy Distributed</t>
  </si>
  <si>
    <t>Kilograms Fruit and Vegetable Distributed</t>
  </si>
  <si>
    <t>Kilograms Grains Distributed</t>
  </si>
  <si>
    <t>Kiligrams Animal Proteins Distributed</t>
  </si>
  <si>
    <t>TOTAL FOOD DISTRIBUTED</t>
  </si>
  <si>
    <t>TOTAL NON-FOOD DISTRIBUTED</t>
  </si>
  <si>
    <t>KG Received</t>
  </si>
  <si>
    <t>DALAGUETE FARMERS</t>
  </si>
  <si>
    <t>HARLENE</t>
  </si>
  <si>
    <t>DALAGUETE CEBU</t>
  </si>
  <si>
    <t>Cat food, dog food, etc</t>
  </si>
  <si>
    <t>Non-Food - Pet Food</t>
  </si>
  <si>
    <t>Ace</t>
  </si>
  <si>
    <t>Distribution</t>
  </si>
  <si>
    <t>Product Sourcing</t>
  </si>
  <si>
    <t>Month &amp; Year</t>
  </si>
  <si>
    <t>% of Total</t>
  </si>
  <si>
    <t>TOTAL KG FROM DONOR CATEGORY</t>
  </si>
  <si>
    <t>TOTAL KG FROM DONATED/PURCHASED</t>
  </si>
  <si>
    <t>CHECKS (All numbers should be the same)</t>
  </si>
  <si>
    <t>People Served</t>
  </si>
  <si>
    <t>Any differences in the numbers means there are errors in Product In or Product Out pages</t>
  </si>
  <si>
    <t>Value</t>
  </si>
  <si>
    <t>Total Weight</t>
  </si>
  <si>
    <t>TOTAL KG FROM PRODUCT CATEGORY RECEIVED</t>
  </si>
  <si>
    <t>TOTAL KG FROM PRODUCT CATEGORY DISTRIBUTED</t>
  </si>
  <si>
    <t>LGU - Barangay Bacayan</t>
  </si>
  <si>
    <t>09618158717</t>
  </si>
  <si>
    <t>Brgy. Bacayan Tlamban, Cebu City</t>
  </si>
  <si>
    <t>LGU - Barangay Tinago c/o Phil. Navy</t>
  </si>
  <si>
    <t>Barangay Tinago Pier 3, Cebu City</t>
  </si>
  <si>
    <t>LGU - BARING CARMEN</t>
  </si>
  <si>
    <t>09069219387</t>
  </si>
  <si>
    <t>BARING CARMEN CEBU</t>
  </si>
  <si>
    <t>LGU - GUIZO MANDAUE</t>
  </si>
  <si>
    <t>0920604000</t>
  </si>
  <si>
    <t>GUIZO MANDAUE CITY</t>
  </si>
  <si>
    <t>LGU - Municipality of Tabuelan</t>
  </si>
  <si>
    <t>Ivar Sena</t>
  </si>
  <si>
    <t>09198230397</t>
  </si>
  <si>
    <t>Tabuelan, Cebu City</t>
  </si>
  <si>
    <t>LGU - Municipality of Tuburan</t>
  </si>
  <si>
    <t>Lloyd Romero</t>
  </si>
  <si>
    <t>09955649582</t>
  </si>
  <si>
    <t>Tuburan, Cebu City</t>
  </si>
  <si>
    <t>LGU - Sto. Nino Malabuyoc, Cebu</t>
  </si>
  <si>
    <t>09616542050</t>
  </si>
  <si>
    <t>Malabuyoc, Cebu City</t>
  </si>
  <si>
    <t>NGO - Angat Semblante Helping Hands inc.</t>
  </si>
  <si>
    <t>Tarratheci Sembante</t>
  </si>
  <si>
    <t>Nangka ConsolacionCebu</t>
  </si>
  <si>
    <t>NGO - Cebu Equalizer</t>
  </si>
  <si>
    <t>Genevic Jumawan Suico</t>
  </si>
  <si>
    <t>09363795185</t>
  </si>
  <si>
    <t>Toledo, Cebu City</t>
  </si>
  <si>
    <t>NGO - Children of Cebu</t>
  </si>
  <si>
    <t>Keishza</t>
  </si>
  <si>
    <t>09513644534</t>
  </si>
  <si>
    <t>Cebu City</t>
  </si>
  <si>
    <t>NGO - Cure Foundation</t>
  </si>
  <si>
    <t>Sir Bart</t>
  </si>
  <si>
    <t>09106569442</t>
  </si>
  <si>
    <t>Pinamungajan Cebu</t>
  </si>
  <si>
    <t>NGO - DICE Children of Asia</t>
  </si>
  <si>
    <t>Maam Cherryl</t>
  </si>
  <si>
    <t>09955152197</t>
  </si>
  <si>
    <t>Ermita, Cebu City</t>
  </si>
  <si>
    <t>NGO - Everlasting Hope of Cebu</t>
  </si>
  <si>
    <t>032-4070056</t>
  </si>
  <si>
    <t>Guadalupe, Cebu City</t>
  </si>
  <si>
    <t>NGO - Gasa sa Gugma</t>
  </si>
  <si>
    <t>032-2314880</t>
  </si>
  <si>
    <t>NGO - Juanito King Foundation Inc.</t>
  </si>
  <si>
    <t>Aileen Lariba</t>
  </si>
  <si>
    <t>09176559166</t>
  </si>
  <si>
    <t>NGO - KIDS LIFE FOUNDATION</t>
  </si>
  <si>
    <t>09169158981</t>
  </si>
  <si>
    <t>Mabini St. Cebu City</t>
  </si>
  <si>
    <t>NGO - Kilosang Pagbabago</t>
  </si>
  <si>
    <t>Catherine Maluya</t>
  </si>
  <si>
    <t>09179722283</t>
  </si>
  <si>
    <t>Sudlon Maguikay Mandaue City</t>
  </si>
  <si>
    <t>NGO - KPLOI</t>
  </si>
  <si>
    <t>09177102187</t>
  </si>
  <si>
    <t>Maguikay,Mandaue City</t>
  </si>
  <si>
    <t>NGO - Mary's Little Children Community</t>
  </si>
  <si>
    <t>Fr. Jerome Antogop</t>
  </si>
  <si>
    <t>0939 531 5020</t>
  </si>
  <si>
    <t>Tabunok, Talisay City</t>
  </si>
  <si>
    <t>NGO - Rise Above Foundation Cebu inc.</t>
  </si>
  <si>
    <t>Marie Tangalin</t>
  </si>
  <si>
    <t>032-2551063</t>
  </si>
  <si>
    <t>Guadalupe Cebu City</t>
  </si>
  <si>
    <t>NGO - RTC BRAVE</t>
  </si>
  <si>
    <t>Ma Juliet Ceniza</t>
  </si>
  <si>
    <t>Carcar City Cebu</t>
  </si>
  <si>
    <t>NGO - Seven Sisters Servants of Mary Elderly Home INC</t>
  </si>
  <si>
    <t>Sis. Marijoy Maurillo</t>
  </si>
  <si>
    <t>09509214913</t>
  </si>
  <si>
    <t>Mohon, Talisay City</t>
  </si>
  <si>
    <t>NGO - Single Parent Association</t>
  </si>
  <si>
    <t>James Besabella</t>
  </si>
  <si>
    <t>Paknaan Mandaue City</t>
  </si>
  <si>
    <t>NGO - Wise Foundation</t>
  </si>
  <si>
    <t>Jerosel Tagalog</t>
  </si>
  <si>
    <t>09628767905</t>
  </si>
  <si>
    <t>Lilo-an, Cebu City</t>
  </si>
  <si>
    <t>PASTORAL - Asilo dela Milagrosa</t>
  </si>
  <si>
    <t>Sr. Myra</t>
  </si>
  <si>
    <t>232 2443 / 0943 328 0563</t>
  </si>
  <si>
    <t>Gorordo Ave CC</t>
  </si>
  <si>
    <t>PASTORAL - Getsemane Parish</t>
  </si>
  <si>
    <t>09560998827</t>
  </si>
  <si>
    <t>Casuntingan, Mandaue City</t>
  </si>
  <si>
    <t>PASTORAL - Life Giver Church</t>
  </si>
  <si>
    <t>Rev. Gleen Baldomero</t>
  </si>
  <si>
    <t>09164792526</t>
  </si>
  <si>
    <t>Tipolo Mandaue City</t>
  </si>
  <si>
    <t>PASTORAL - Mabolo Parish</t>
  </si>
  <si>
    <t>Brod. Peping</t>
  </si>
  <si>
    <t>Mabolo Cebu City</t>
  </si>
  <si>
    <t>PASTORAL - OAD Church of Relics</t>
  </si>
  <si>
    <t>Fr. Cris Suan</t>
  </si>
  <si>
    <t>09296268878</t>
  </si>
  <si>
    <t>Tabor Hills</t>
  </si>
  <si>
    <t>PASTORAL - OAD Missionary Tabor Hills</t>
  </si>
  <si>
    <t>09956539667</t>
  </si>
  <si>
    <t>OAD Tabor Hills, Talamban, Cebu City</t>
  </si>
  <si>
    <t>PASTORAL - Our Lady of Lourdes Parish-CFC</t>
  </si>
  <si>
    <t>Fr. Ruel Marigumen /NiÑo Quezon</t>
  </si>
  <si>
    <t>09052303052</t>
  </si>
  <si>
    <t>Ocaña Carcar City Cebu</t>
  </si>
  <si>
    <t>PASTORAL - Redemptorist Church</t>
  </si>
  <si>
    <t>PASTORAL - San Antonio de Abad Parish</t>
  </si>
  <si>
    <t>Fr. Richard Rama</t>
  </si>
  <si>
    <t>parokyanisanantonioabad@gmail.com</t>
  </si>
  <si>
    <t>Putat Tuburan Cebu</t>
  </si>
  <si>
    <t xml:space="preserve">PASTORAL - San Carlos Seminary </t>
  </si>
  <si>
    <t>Fr. Brian Brigoli</t>
  </si>
  <si>
    <t>0918 919 5539 / 231 4514</t>
  </si>
  <si>
    <t>USC Seminary</t>
  </si>
  <si>
    <t>PET SHELTER - HUNGRY PAWS</t>
  </si>
  <si>
    <t>09473261252</t>
  </si>
  <si>
    <t>LABANGON CEBU</t>
  </si>
  <si>
    <t>Volunteers and Staff</t>
  </si>
  <si>
    <t>Cebu Food Bank by Simplyshare</t>
  </si>
  <si>
    <t>Nichole</t>
  </si>
  <si>
    <t>PL INSURANCE SERVICES</t>
  </si>
  <si>
    <t>Clover Chips Chili Cheese</t>
  </si>
  <si>
    <t>Energen Champion</t>
  </si>
  <si>
    <t>sack</t>
  </si>
  <si>
    <t>box</t>
  </si>
  <si>
    <t>bag</t>
  </si>
  <si>
    <t>packet</t>
  </si>
  <si>
    <t>bottle</t>
  </si>
  <si>
    <t>can</t>
  </si>
  <si>
    <t>piece</t>
  </si>
  <si>
    <t>Rotary</t>
  </si>
  <si>
    <t>Pinamungahan</t>
  </si>
  <si>
    <t>Meal Pack</t>
  </si>
  <si>
    <t xml:space="preserve">Meal Pack </t>
  </si>
  <si>
    <t>TOTAL FOOD RECEIVED</t>
  </si>
  <si>
    <t>TOTAL NON-FOOD RECEIVED</t>
  </si>
  <si>
    <t>Food Donation Drive</t>
  </si>
  <si>
    <t>Harvester's Jasmine 10kg</t>
  </si>
  <si>
    <t>Farmer's Choice Jasmine 10kg</t>
  </si>
  <si>
    <t>Farmer's Choice Whole Grain 10kg</t>
  </si>
  <si>
    <t>Robinsons Dinorado 10 kg</t>
  </si>
  <si>
    <t>Unipak Sardines 155g</t>
  </si>
  <si>
    <t>Maya Butterscotch</t>
  </si>
  <si>
    <t>Loaded Cheese 32g</t>
  </si>
  <si>
    <t>Peewee Pizza 95g</t>
  </si>
  <si>
    <t>Maya Red Velvet</t>
  </si>
  <si>
    <t>Coke Light 320ml</t>
  </si>
  <si>
    <t>Cebu South</t>
  </si>
  <si>
    <t>Sugo Cracker Nuts</t>
  </si>
  <si>
    <t>Clover Chips Cheesier</t>
  </si>
  <si>
    <t>Peewee</t>
  </si>
  <si>
    <t>Fitbar Fruits Delight</t>
  </si>
  <si>
    <t>Moniegold</t>
  </si>
  <si>
    <t>Remaining days to expiry</t>
  </si>
  <si>
    <t>Virginia</t>
  </si>
  <si>
    <t>Radisson Blu</t>
  </si>
  <si>
    <t>OLS Toys</t>
  </si>
  <si>
    <t>Okeji Tempura 100g</t>
  </si>
  <si>
    <t>Cheez It Cheese 25g</t>
  </si>
  <si>
    <t>NB Cereal Corn Sweet  600g</t>
  </si>
  <si>
    <t>NB Roasted Cashewnut 650g</t>
  </si>
  <si>
    <t>Hanzel Milky Strawberry Sandwich</t>
  </si>
  <si>
    <t>Rebisco Wafertime Rich Cream</t>
  </si>
  <si>
    <t>Happy Farm Sweet Corn on the Cob</t>
  </si>
  <si>
    <t>Bedsheet</t>
  </si>
  <si>
    <t>Towels</t>
  </si>
  <si>
    <t>Happy Farm Sweet Corn Frozen Whole Kernel 500g</t>
  </si>
  <si>
    <t>Hinam is Pyramid Yemma Ube 15s</t>
  </si>
  <si>
    <t xml:space="preserve">Certera Butter Toasted </t>
  </si>
  <si>
    <t>Peewee BBQ 25g</t>
  </si>
  <si>
    <t>Richeese Big Roll 300g</t>
  </si>
  <si>
    <t>Heritage Whole Almonds 500g</t>
  </si>
  <si>
    <t>Heritage Raw Cashew 250g</t>
  </si>
  <si>
    <t>Heritage Raw Large Cashew Nuts 500g</t>
  </si>
  <si>
    <t>Heritage Walnut 454g</t>
  </si>
  <si>
    <t>Bambi Nacho Chips 150g</t>
  </si>
  <si>
    <t>Bambi Bubbling Taco Shells 180g</t>
  </si>
  <si>
    <t>Healthy You Pitted Prunes 120g</t>
  </si>
  <si>
    <t>Lorenz Naturals Balsimic Vinegar 100g</t>
  </si>
  <si>
    <t>Rimi Gift Danish Cookies 340g</t>
  </si>
  <si>
    <t>Corn Bits Supreme Mix 200g</t>
  </si>
  <si>
    <t>Alibaba Sweet Corn 120g</t>
  </si>
  <si>
    <t>NB Roasted Cashew Nut 650g</t>
  </si>
  <si>
    <t>NB Sesame Stick 220g</t>
  </si>
  <si>
    <t>NB wafer Roll Cheese 115g</t>
  </si>
  <si>
    <t>Smallows Mango Marshmallows 70g</t>
  </si>
  <si>
    <t>NB Cereal Choco Ring 570g</t>
  </si>
  <si>
    <t xml:space="preserve">Clover Party Pack </t>
  </si>
  <si>
    <t>Julies Butter Cracker Thins 600g</t>
  </si>
  <si>
    <t>Leslie Banana Thins 100g</t>
  </si>
  <si>
    <t>Kokola Malkist Olezz Choco Party 100g</t>
  </si>
  <si>
    <t>NB Seasoned Soy Bean Paste 500g</t>
  </si>
  <si>
    <t>Seleco Rollins Bite Crispy 24g</t>
  </si>
  <si>
    <t>Wantwant Senbei Shelly 72g</t>
  </si>
  <si>
    <t>Nissin Seafood Cup 72g</t>
  </si>
  <si>
    <t>Oh Ricey Instandt Noodles Beef 71g</t>
  </si>
  <si>
    <t>Robinsons Pacencia 90g</t>
  </si>
  <si>
    <t>Mix Dog food</t>
  </si>
  <si>
    <t>Mix Rice</t>
  </si>
  <si>
    <t>Vitapet Kitten Fish&amp;Egg 480g</t>
  </si>
  <si>
    <t>Breeder's Choice Puppy 1.8kg</t>
  </si>
  <si>
    <t>Goodboy Original 5kg</t>
  </si>
  <si>
    <t>Pan Pan Jasmine 5kg</t>
  </si>
  <si>
    <t>Robinson's Jasmine 2kg</t>
  </si>
  <si>
    <t>Robinson's Jasmine 5kg</t>
  </si>
  <si>
    <t>Robinson's Intan 5kg</t>
  </si>
  <si>
    <t>Robinson's Angelika 2kg</t>
  </si>
  <si>
    <t>Robinson's Angelika 5kg</t>
  </si>
  <si>
    <t>Robinson's Angelika 10kg</t>
  </si>
  <si>
    <t>Robinson's Intan 10kg</t>
  </si>
  <si>
    <t>Robinson's Jasmine 10kg</t>
  </si>
  <si>
    <t>Robinson's Dinorado 10kg</t>
  </si>
  <si>
    <t>Robinson's Whole Grain 10kg</t>
  </si>
  <si>
    <t>Farmboy Long Grain Rice 10kg</t>
  </si>
  <si>
    <t>Farmer's Choice Dinorado 10kg</t>
  </si>
  <si>
    <t>Farmer's Choice Sinandomeng 10kg</t>
  </si>
  <si>
    <t>Harvester's Long Grain 5kg</t>
  </si>
  <si>
    <t>Harvester's Dinorado 10kg</t>
  </si>
  <si>
    <t>Ag Natural Popcorn 2oz 3s</t>
  </si>
  <si>
    <t>Fruitcake Imp Emb 0.15lb</t>
  </si>
  <si>
    <t>Boncafe Brazilian Insta Coffee 200g</t>
  </si>
  <si>
    <t>Boncafe Insta Coffee 200g</t>
  </si>
  <si>
    <t>Barilla Collezione 500g</t>
  </si>
  <si>
    <t>Palm Chili Corned Beef 536 g</t>
  </si>
  <si>
    <t>Bahi Ginger and Tumeric Brew</t>
  </si>
  <si>
    <t>Harvesters Sinandomeng 10kg</t>
  </si>
  <si>
    <t>Farmboy Long Grain 10kg</t>
  </si>
  <si>
    <t>Arm 7 Hammer Advance White Tooth</t>
  </si>
  <si>
    <t>Dr. Pepper Zero Cream Soda 12oz</t>
  </si>
  <si>
    <t>Sprite Regular 320ml</t>
  </si>
  <si>
    <t>Schweppes Soda water 325ml</t>
  </si>
  <si>
    <t>Coke Regular 320ml</t>
  </si>
  <si>
    <t>Coke Zero 320ml</t>
  </si>
  <si>
    <t>Sunbest Peach Halves 850g</t>
  </si>
  <si>
    <t>Sunbest Fruit Cocktail 850 g</t>
  </si>
  <si>
    <t>Meadows Crispy Crepes Choco</t>
  </si>
  <si>
    <t>Fitbar Tiramisu 22g</t>
  </si>
  <si>
    <t>Farmers Choice Dinorado 10kg</t>
  </si>
  <si>
    <t>Canada Dry Gingerl Ale 12oz</t>
  </si>
  <si>
    <t>Magictime Caramel Popcorn</t>
  </si>
  <si>
    <t>Magictime Jalapeno Cheddar</t>
  </si>
  <si>
    <t>Robinsons Dinorado 10kg</t>
  </si>
  <si>
    <t>Shamrock Otap Tray 190g</t>
  </si>
  <si>
    <t>Sunflower Butter Sandwich 27 g</t>
  </si>
  <si>
    <t>Colgate Toothbrush Cushion</t>
  </si>
  <si>
    <t>Colgate Toothpaste Charcoal 35g</t>
  </si>
  <si>
    <t>Colgate Toothpaste Spicy fresh 173g 3s</t>
  </si>
  <si>
    <t>Colgate Toothpaste Spicy fresh 120ml 2s</t>
  </si>
  <si>
    <t>Colgate Toothpaste Spicy Fresh 173 g 2s</t>
  </si>
  <si>
    <t>Mega Mexicana Taco Shells 130g</t>
  </si>
  <si>
    <t>Glutamax Lightening</t>
  </si>
  <si>
    <t>Monarch Corned Beef Lite 340g</t>
  </si>
  <si>
    <t>Robinsons All Purpose Flour 400g</t>
  </si>
  <si>
    <t>Robinsons All Purpose Flour 800</t>
  </si>
  <si>
    <t>Delimondo Caldereta</t>
  </si>
  <si>
    <t>Delimondo Garlic Chili</t>
  </si>
  <si>
    <t>Delimondo Corned beef</t>
  </si>
  <si>
    <t>Delimondo Caldereta 260g</t>
  </si>
  <si>
    <t>case</t>
  </si>
  <si>
    <t>25</t>
  </si>
  <si>
    <t>N/A</t>
  </si>
  <si>
    <t>Robinsons Pacencia</t>
  </si>
  <si>
    <t>Eagle pencils</t>
  </si>
  <si>
    <t>Happy Farm Corn on the Cob</t>
  </si>
  <si>
    <t>Hansel Strawberry</t>
  </si>
  <si>
    <t>Rebisco Wafer Time</t>
  </si>
  <si>
    <t>Loaded Cheese Filled</t>
  </si>
  <si>
    <t>Repacked Monkey Rice</t>
  </si>
  <si>
    <t>Happy Farms Corn on Cob</t>
  </si>
  <si>
    <t>Clover BBQ</t>
  </si>
  <si>
    <t>Niarns</t>
  </si>
  <si>
    <t>Vintage Potatoes</t>
  </si>
  <si>
    <t>Peppermint Infusion</t>
  </si>
  <si>
    <t>Luxury Hwa tai</t>
  </si>
  <si>
    <t>Egg Cream Cookies</t>
  </si>
  <si>
    <t>Nut walker fancy mixed nuts</t>
  </si>
  <si>
    <t>No Brand Sesame Sticks</t>
  </si>
  <si>
    <t>Green Peas</t>
  </si>
  <si>
    <t>Chios Garden Lemon</t>
  </si>
  <si>
    <t>UFC Tomato Sauce</t>
  </si>
  <si>
    <t>Tomi Sweet Corn 30g</t>
  </si>
  <si>
    <t>Unipak Sardines</t>
  </si>
  <si>
    <t>Jersey Condense Creamer</t>
  </si>
  <si>
    <t>Molinera Baked Beans</t>
  </si>
  <si>
    <t>Fitbar Choco</t>
  </si>
  <si>
    <t>Champola Chocolate 30g</t>
  </si>
  <si>
    <t>Champola Choco blast 30g</t>
  </si>
  <si>
    <t>Champola 280 g</t>
  </si>
  <si>
    <t>Fitbar Choco Delight</t>
  </si>
  <si>
    <t>Gimbap Laver</t>
  </si>
  <si>
    <t>Moniegold Bangkok Sweet and spicy</t>
  </si>
  <si>
    <t>Glorious Red Tea</t>
  </si>
  <si>
    <t>Broad Bean Wasabi Flavor</t>
  </si>
  <si>
    <t>Strawberry Mini Wafers</t>
  </si>
  <si>
    <t>Glorious Lemonade</t>
  </si>
  <si>
    <t>Barilla Fettucine</t>
  </si>
  <si>
    <t>Barilla Intergrade</t>
  </si>
  <si>
    <t>Bambi Taco Shells</t>
  </si>
  <si>
    <t>Fairy's Monkey Cone</t>
  </si>
  <si>
    <t>Mama's Best Oyster Sauce</t>
  </si>
  <si>
    <t>Maya Oven Toaster Brownie Mix</t>
  </si>
  <si>
    <t>Leslie's Thin and Crispy Banana Chips</t>
  </si>
  <si>
    <t>Magic Melt Otap</t>
  </si>
  <si>
    <t>Del Monte Tidbits 137g</t>
  </si>
  <si>
    <t>Fitbar Tiramisu</t>
  </si>
  <si>
    <t>No Brand Grapefruit Tea</t>
  </si>
  <si>
    <t>Happy Farms Corn on the Cob</t>
  </si>
  <si>
    <t>UFC Spag Sauce Filipino</t>
  </si>
  <si>
    <t>Del Monte Tidbits 115g</t>
  </si>
  <si>
    <t>Maya Cake Flour Enriched</t>
  </si>
  <si>
    <t>Maya Red Velvet Cake</t>
  </si>
  <si>
    <t>Shamrock Rosquillos</t>
  </si>
  <si>
    <t>No Brand Ssangwon Tea</t>
  </si>
  <si>
    <t>UFC Filipino Style</t>
  </si>
  <si>
    <t>Champion Energen</t>
  </si>
  <si>
    <t>GMAC PHO</t>
  </si>
  <si>
    <t>King Crab</t>
  </si>
  <si>
    <t>Cheesy Corn Crunch</t>
  </si>
  <si>
    <t>Mega Mexican Taco Shells</t>
  </si>
  <si>
    <t>Meadows Chest nut</t>
  </si>
  <si>
    <t>Want - want purple sweet potato</t>
  </si>
  <si>
    <t>Sugo Honey Roasted Peanuts</t>
  </si>
  <si>
    <t>RS All purpose flour</t>
  </si>
  <si>
    <t>Buttercream Crackers leche flan</t>
  </si>
  <si>
    <t>Buttercream Crackers Ensaymada</t>
  </si>
  <si>
    <t>Monkey Rice 2kg</t>
  </si>
  <si>
    <t>DVMF</t>
  </si>
  <si>
    <t>Smart Heart Adult Cat Chicken</t>
  </si>
  <si>
    <t>Vitapet Adult Cat Seafood</t>
  </si>
  <si>
    <t>Vitapet Adult Cat Tuna</t>
  </si>
  <si>
    <t>Barangay Subangdaku</t>
  </si>
  <si>
    <t>Virginia Corn Kernels</t>
  </si>
  <si>
    <t>Barangay Camaro</t>
  </si>
  <si>
    <t>Happy farm Corn on the Cob</t>
  </si>
  <si>
    <t>Barangay Basak</t>
  </si>
  <si>
    <t>Brangay Basak</t>
  </si>
  <si>
    <t>Barangay Maguikay</t>
  </si>
  <si>
    <t>Barangay Centro</t>
  </si>
  <si>
    <t>HAppy Farm Corn on the Cob</t>
  </si>
  <si>
    <t>KAGAPF Zone</t>
  </si>
  <si>
    <t>Barangay Guizo</t>
  </si>
  <si>
    <t>Barangay Jagobiao</t>
  </si>
  <si>
    <t>PWD Mandaue Federation</t>
  </si>
  <si>
    <t>Gospel Community Christian Ministries</t>
  </si>
  <si>
    <t>Barangay Umapad</t>
  </si>
  <si>
    <t>No Brand Choco Rice Cereal</t>
  </si>
  <si>
    <t>Brangay Looc</t>
  </si>
  <si>
    <t>Tabok</t>
  </si>
  <si>
    <t>Dry Peas</t>
  </si>
  <si>
    <t>Cheese Wafer</t>
  </si>
  <si>
    <t>Mango Marshmallow</t>
  </si>
  <si>
    <t>Barangay Opao</t>
  </si>
  <si>
    <t>Clover Party Pack</t>
  </si>
  <si>
    <t>Barangay Paknaan</t>
  </si>
  <si>
    <t>Barangay Labogon</t>
  </si>
  <si>
    <t>Glory Reborn Org.</t>
  </si>
  <si>
    <t>Happy Farm Corn On the Cob</t>
  </si>
  <si>
    <t>Navy</t>
  </si>
  <si>
    <t>Virginia Sweet Corn Kernel</t>
  </si>
  <si>
    <t>Mega Mexicana Taco Shells</t>
  </si>
  <si>
    <t>La Costena Salsa (Mild, Medium and Hot)</t>
  </si>
  <si>
    <t>Michelle's Golden Nacho Chips</t>
  </si>
  <si>
    <t>Dream Project Children with Special Needs</t>
  </si>
  <si>
    <t xml:space="preserve">Robinsons Dinorado 10kg </t>
  </si>
  <si>
    <t>Robinsons Sinandomeng 10kg</t>
  </si>
  <si>
    <t>Sunsweet Amazin Prunes</t>
  </si>
  <si>
    <t>Pyramid Ube Yema</t>
  </si>
  <si>
    <t>No Brand Roasted Cashew</t>
  </si>
  <si>
    <t>Fitbar Fruits Bar</t>
  </si>
  <si>
    <t>Healthy You Dried Pitted Prunes</t>
  </si>
  <si>
    <t>Cheez-it</t>
  </si>
  <si>
    <t>Banana Thins</t>
  </si>
  <si>
    <t>Monkey Rice</t>
  </si>
  <si>
    <t>No Brand Choco Ring Cereal</t>
  </si>
  <si>
    <t>julie's Butter Crackers</t>
  </si>
  <si>
    <t>Pancencia</t>
  </si>
  <si>
    <t>Kopiko Blanca</t>
  </si>
  <si>
    <t>Corn Bits</t>
  </si>
  <si>
    <t>Party Pack Clover</t>
  </si>
  <si>
    <t>4Freedom</t>
  </si>
  <si>
    <t>Happy Farm Sweet Corn</t>
  </si>
  <si>
    <t>Susu Kukis Vanilla</t>
  </si>
  <si>
    <t>Juju Choco snack biscuit</t>
  </si>
  <si>
    <t>Bukas Palad Foundation</t>
  </si>
  <si>
    <t>No Brand Ssanghua Tea</t>
  </si>
  <si>
    <t>Moby Crunch</t>
  </si>
  <si>
    <t>Maya Complete Hotcake Mix</t>
  </si>
  <si>
    <t>Oven Toaster Banana Cake</t>
  </si>
  <si>
    <t>Clover Cheese Ham and Cheese</t>
  </si>
  <si>
    <t>Cheezy Corn Crunch Cheddar Jalapeno</t>
  </si>
  <si>
    <t>Farmer John Potato Chips Sour Cream</t>
  </si>
  <si>
    <t>Cheezy Corn Crunch Cheese</t>
  </si>
  <si>
    <t>Loaded White Choco filled</t>
  </si>
  <si>
    <t>Mexicorn Chips</t>
  </si>
  <si>
    <t>Tomi Sweet Corn</t>
  </si>
  <si>
    <t>Loaded Cheese</t>
  </si>
  <si>
    <t>Pee Wee Pizza Supreme</t>
  </si>
  <si>
    <t>Virginia sweet Corn kernel</t>
  </si>
  <si>
    <t>Stick O Chocolate 850g</t>
  </si>
  <si>
    <t>Ceres Orange Juice</t>
  </si>
  <si>
    <t>Cucumber Lemonade</t>
  </si>
  <si>
    <t>Towel</t>
  </si>
  <si>
    <t>Linens</t>
  </si>
  <si>
    <t>ABSNET</t>
  </si>
  <si>
    <t>Emma Bed</t>
  </si>
  <si>
    <t>LGU Medellin</t>
  </si>
  <si>
    <t>Ufc Tomato Guisado</t>
  </si>
  <si>
    <t>Ufc Afritada</t>
  </si>
  <si>
    <t>Maya Red Velvet 460g</t>
  </si>
  <si>
    <t>Clover Chips BBQ</t>
  </si>
  <si>
    <t>I Love Cheese</t>
  </si>
  <si>
    <t xml:space="preserve">Junjun Ponce Bequilla </t>
  </si>
  <si>
    <t>Maam Delia</t>
  </si>
  <si>
    <t>Armi cornea</t>
  </si>
  <si>
    <t>Foodpanda</t>
  </si>
  <si>
    <t>PET SHELTER -Happy Tails</t>
  </si>
  <si>
    <t>NGO - Rotary Club of Cebu</t>
  </si>
  <si>
    <t>LGU - Danao</t>
  </si>
  <si>
    <t>NGO - Eagles Club</t>
  </si>
  <si>
    <t>LGU -Carcar</t>
  </si>
  <si>
    <t>LGU - Barili</t>
  </si>
  <si>
    <t>LGU - Pinamungahan</t>
  </si>
  <si>
    <t>NGO - Angelika</t>
  </si>
  <si>
    <t>NGO -Cebu South Volunteers</t>
  </si>
  <si>
    <t>NGO - Down Syndrome Association</t>
  </si>
  <si>
    <t>NGO - Missionary of the poor</t>
  </si>
  <si>
    <t>NGO - Northern Sugbo Unified</t>
  </si>
  <si>
    <t>NGO - UMCAP</t>
  </si>
  <si>
    <t>NGO - SOS Children's Village</t>
  </si>
  <si>
    <t xml:space="preserve">c/o RAH </t>
  </si>
  <si>
    <t>NGO - 4Freedom</t>
  </si>
  <si>
    <t>LGU - Barangay Basak</t>
  </si>
  <si>
    <t>LGU - Barangay  Basak</t>
  </si>
  <si>
    <t>LGU - Barangay Cambaro</t>
  </si>
  <si>
    <t>LGU - Barangay Centro</t>
  </si>
  <si>
    <t>LGU - Barangay Jagobiao</t>
  </si>
  <si>
    <t>LGU - Barangay Labogon</t>
  </si>
  <si>
    <t xml:space="preserve">LGU - Barangay Maguikay </t>
  </si>
  <si>
    <t>LGU - Barangay Opao</t>
  </si>
  <si>
    <t>LGU - Barangay Paknaan</t>
  </si>
  <si>
    <t>LGU - Barangay Subangdako</t>
  </si>
  <si>
    <t>LGU - Barangay Umapad</t>
  </si>
  <si>
    <t>LGU - Barangay Looc</t>
  </si>
  <si>
    <t>NGO - Bukas Palad Foundation</t>
  </si>
  <si>
    <t>NGO - Dream Project Children with Special Needs</t>
  </si>
  <si>
    <t>PET SHELTER - DVMF</t>
  </si>
  <si>
    <t>NGO - Glory Reborn Org.</t>
  </si>
  <si>
    <t>LGU - GMAC PHO</t>
  </si>
  <si>
    <t>PASTORAL - Gospel Community Christian Ministries</t>
  </si>
  <si>
    <t>NGO - KAGAPF Zone</t>
  </si>
  <si>
    <t>LGU -  Barangay Medellin</t>
  </si>
  <si>
    <t xml:space="preserve">NGO - PWD Mandaue Federation </t>
  </si>
  <si>
    <t>LGU - Barangay Tabok</t>
  </si>
  <si>
    <t>Philippine Navy</t>
  </si>
  <si>
    <t>LGU - Barangay Guizo</t>
  </si>
  <si>
    <t>NGO - GMAC PAO</t>
  </si>
  <si>
    <t>LGU - Barangay 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</si>
</sst>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d\-mmm\-yy;@"/>
    <numFmt numFmtId="165" formatCode="[$-409]dd\-mmm\-yy;@"/>
    <numFmt numFmtId="166" formatCode="[$₱-464]#,##0.00"/>
    <numFmt numFmtId="167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mbria"/>
      <family val="1"/>
    </font>
    <font>
      <sz val="8"/>
      <color theme="1"/>
      <name val="Cambria"/>
      <family val="1"/>
    </font>
    <font>
      <i/>
      <sz val="11"/>
      <color rgb="FFFF0000"/>
      <name val="Aptos Narrow"/>
      <family val="2"/>
      <scheme val="minor"/>
    </font>
    <font>
      <sz val="11"/>
      <color rgb="FF000000"/>
      <name val="Aptos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BC38"/>
        <bgColor indexed="64"/>
      </patternFill>
    </fill>
    <fill>
      <patternFill patternType="solid">
        <fgColor rgb="FFFE87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1" fillId="2" borderId="0" xfId="0" applyFont="1" applyFill="1"/>
    <xf numFmtId="164" fontId="1" fillId="4" borderId="0" xfId="0" applyNumberFormat="1" applyFont="1" applyFill="1" applyAlignment="1">
      <alignment horizontal="left"/>
    </xf>
    <xf numFmtId="0" fontId="1" fillId="4" borderId="0" xfId="0" applyFont="1" applyFill="1"/>
    <xf numFmtId="164" fontId="1" fillId="4" borderId="0" xfId="0" applyNumberFormat="1" applyFont="1" applyFill="1"/>
    <xf numFmtId="0" fontId="0" fillId="4" borderId="0" xfId="0" applyFill="1"/>
    <xf numFmtId="164" fontId="1" fillId="2" borderId="0" xfId="0" applyNumberFormat="1" applyFont="1" applyFill="1" applyAlignment="1">
      <alignment horizontal="left"/>
    </xf>
    <xf numFmtId="0" fontId="0" fillId="4" borderId="3" xfId="0" applyFill="1" applyBorder="1"/>
    <xf numFmtId="0" fontId="3" fillId="4" borderId="0" xfId="0" applyFont="1" applyFill="1"/>
    <xf numFmtId="0" fontId="3" fillId="4" borderId="0" xfId="0" applyFont="1" applyFill="1" applyAlignment="1">
      <alignment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left" wrapText="1"/>
    </xf>
    <xf numFmtId="0" fontId="0" fillId="4" borderId="0" xfId="0" applyFill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1" fillId="2" borderId="7" xfId="0" applyFont="1" applyFill="1" applyBorder="1"/>
    <xf numFmtId="2" fontId="1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4" borderId="1" xfId="0" applyFill="1" applyBorder="1"/>
    <xf numFmtId="0" fontId="0" fillId="4" borderId="3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 vertical="top" wrapText="1"/>
    </xf>
    <xf numFmtId="164" fontId="7" fillId="0" borderId="0" xfId="0" applyNumberFormat="1" applyFont="1" applyAlignment="1">
      <alignment horizontal="left" vertical="center"/>
    </xf>
    <xf numFmtId="2" fontId="0" fillId="4" borderId="2" xfId="0" applyNumberFormat="1" applyFill="1" applyBorder="1" applyAlignment="1">
      <alignment horizontal="left" wrapText="1"/>
    </xf>
    <xf numFmtId="2" fontId="0" fillId="4" borderId="4" xfId="0" applyNumberFormat="1" applyFill="1" applyBorder="1" applyAlignment="1">
      <alignment horizontal="left" wrapText="1"/>
    </xf>
    <xf numFmtId="2" fontId="0" fillId="4" borderId="6" xfId="0" applyNumberFormat="1" applyFill="1" applyBorder="1" applyAlignment="1">
      <alignment horizontal="left" wrapText="1"/>
    </xf>
    <xf numFmtId="2" fontId="0" fillId="4" borderId="0" xfId="0" applyNumberFormat="1" applyFill="1" applyAlignment="1">
      <alignment wrapText="1"/>
    </xf>
    <xf numFmtId="2" fontId="1" fillId="5" borderId="8" xfId="0" applyNumberFormat="1" applyFont="1" applyFill="1" applyBorder="1" applyAlignment="1">
      <alignment horizontal="left" wrapText="1"/>
    </xf>
    <xf numFmtId="1" fontId="1" fillId="2" borderId="0" xfId="1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1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7" fontId="1" fillId="4" borderId="0" xfId="0" applyNumberFormat="1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9" fontId="0" fillId="4" borderId="0" xfId="1" applyFon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1" fillId="4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2" fontId="0" fillId="4" borderId="0" xfId="0" applyNumberFormat="1" applyFill="1" applyAlignment="1">
      <alignment horizontal="left" vertical="center"/>
    </xf>
    <xf numFmtId="2" fontId="1" fillId="5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" fontId="0" fillId="4" borderId="0" xfId="1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1" fontId="0" fillId="6" borderId="4" xfId="0" applyNumberForma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1" fontId="0" fillId="6" borderId="6" xfId="0" applyNumberForma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0" fillId="0" borderId="0" xfId="0" quotePrefix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2" fillId="0" borderId="0" xfId="0" applyFont="1"/>
    <xf numFmtId="0" fontId="0" fillId="7" borderId="0" xfId="0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 wrapText="1"/>
    </xf>
    <xf numFmtId="165" fontId="0" fillId="0" borderId="0" xfId="0" applyNumberFormat="1" applyAlignment="1">
      <alignment horizontal="left" vertical="center"/>
    </xf>
    <xf numFmtId="1" fontId="2" fillId="8" borderId="0" xfId="0" applyNumberFormat="1" applyFont="1" applyFill="1" applyAlignment="1">
      <alignment horizontal="left" vertical="center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5" fontId="0" fillId="0" borderId="0" xfId="0" applyNumberForma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2" applyNumberFormat="1" applyFont="1" applyFill="1" applyAlignment="1">
      <alignment horizontal="center"/>
    </xf>
    <xf numFmtId="166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left"/>
    </xf>
    <xf numFmtId="15" fontId="1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1" fillId="2" borderId="0" xfId="0" applyNumberFormat="1" applyFont="1" applyFill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15" fontId="0" fillId="8" borderId="0" xfId="0" applyNumberFormat="1" applyFill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8" borderId="0" xfId="0" applyNumberForma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 wrapText="1"/>
    </xf>
    <xf numFmtId="167" fontId="1" fillId="0" borderId="0" xfId="0" applyNumberFormat="1" applyFont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167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8" borderId="0" xfId="0" applyNumberFormat="1" applyFill="1" applyAlignment="1">
      <alignment horizontal="left" vertical="center"/>
    </xf>
    <xf numFmtId="1" fontId="0" fillId="8" borderId="4" xfId="0" applyNumberFormat="1" applyFill="1" applyBorder="1" applyAlignment="1">
      <alignment horizontal="left" vertical="center"/>
    </xf>
    <xf numFmtId="1" fontId="0" fillId="8" borderId="0" xfId="0" applyNumberForma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0" xfId="0" applyFill="1"/>
  </cellXfs>
  <cellStyles count="3">
    <cellStyle name="Currency" xfId="2" builtinId="4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BC38"/>
      <color rgb="FFFE876D"/>
      <color rgb="FF054447"/>
      <color rgb="FFFFDC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/>
              </a:rPr>
              <a:t>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 ONLY Dashboard'!$B$20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'VIEW ONLY Dashboard'!$A$21:$A$36</c:f>
              <c:strCache>
                <c:ptCount val="16"/>
                <c:pt idx="0">
                  <c:v>Bakery</c:v>
                </c:pt>
                <c:pt idx="1">
                  <c:v>Confectionary</c:v>
                </c:pt>
                <c:pt idx="2">
                  <c:v>Dairy</c:v>
                </c:pt>
                <c:pt idx="3">
                  <c:v>Fats &amp; Oils</c:v>
                </c:pt>
                <c:pt idx="4">
                  <c:v>Fruits &amp; Vegetables</c:v>
                </c:pt>
                <c:pt idx="5">
                  <c:v>Grains/Grain Products</c:v>
                </c:pt>
                <c:pt idx="6">
                  <c:v>Prepared Foods</c:v>
                </c:pt>
                <c:pt idx="7">
                  <c:v>Protein - Animal Based</c:v>
                </c:pt>
                <c:pt idx="8">
                  <c:v>Processed Cereals/Cereal Products</c:v>
                </c:pt>
                <c:pt idx="9">
                  <c:v>Ready-To-Eat Savouries</c:v>
                </c:pt>
                <c:pt idx="10">
                  <c:v>Sauces/Condiments/Seasonings</c:v>
                </c:pt>
                <c:pt idx="11">
                  <c:v>Special Nutritional Uses</c:v>
                </c:pt>
                <c:pt idx="12">
                  <c:v>Sweeteners</c:v>
                </c:pt>
                <c:pt idx="13">
                  <c:v>Beverage - Water</c:v>
                </c:pt>
                <c:pt idx="14">
                  <c:v>Beverage - Juices/Coffee/Tea</c:v>
                </c:pt>
                <c:pt idx="15">
                  <c:v>Beverage - Sweetened Beverages</c:v>
                </c:pt>
              </c:strCache>
            </c:strRef>
          </c:cat>
          <c:val>
            <c:numRef>
              <c:f>'VIEW ONLY Dashboard'!$B$21:$B$36</c:f>
              <c:numCache>
                <c:formatCode>0</c:formatCode>
                <c:ptCount val="16"/>
                <c:pt idx="0">
                  <c:v>20.900000000000002</c:v>
                </c:pt>
                <c:pt idx="1">
                  <c:v>7.3</c:v>
                </c:pt>
                <c:pt idx="2">
                  <c:v>0</c:v>
                </c:pt>
                <c:pt idx="3">
                  <c:v>0</c:v>
                </c:pt>
                <c:pt idx="4">
                  <c:v>6807.3</c:v>
                </c:pt>
                <c:pt idx="5">
                  <c:v>628.99999999999989</c:v>
                </c:pt>
                <c:pt idx="6">
                  <c:v>2.5</c:v>
                </c:pt>
                <c:pt idx="7">
                  <c:v>3.9999999999999996</c:v>
                </c:pt>
                <c:pt idx="8">
                  <c:v>16</c:v>
                </c:pt>
                <c:pt idx="9">
                  <c:v>56.849999999999994</c:v>
                </c:pt>
                <c:pt idx="10">
                  <c:v>1.2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3.15</c:v>
                </c:pt>
                <c:pt idx="15">
                  <c:v>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D-45BE-A96C-A1C906F9A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540288"/>
        <c:axId val="1567541728"/>
      </c:barChart>
      <c:catAx>
        <c:axId val="15675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41728"/>
        <c:crosses val="autoZero"/>
        <c:auto val="1"/>
        <c:lblAlgn val="ctr"/>
        <c:lblOffset val="100"/>
        <c:noMultiLvlLbl val="0"/>
      </c:catAx>
      <c:valAx>
        <c:axId val="156754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Donor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'VIEW ONLY Dashboard'!$E$20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D4-47E6-984A-79DE4B3CFF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D4-47E6-984A-79DE4B3CFF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D4-47E6-984A-79DE4B3CFF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D4-47E6-984A-79DE4B3CFF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D4-47E6-984A-79DE4B3CFF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D4-47E6-984A-79DE4B3CFF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D4-47E6-984A-79DE4B3CFF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D4-47E6-984A-79DE4B3CFFC8}"/>
              </c:ext>
            </c:extLst>
          </c:dPt>
          <c:cat>
            <c:strRef>
              <c:f>'VIEW ONLY Dashboard'!$D$21:$D$28</c:f>
              <c:strCache>
                <c:ptCount val="8"/>
                <c:pt idx="0">
                  <c:v>Agriculture</c:v>
                </c:pt>
                <c:pt idx="1">
                  <c:v>Food Services</c:v>
                </c:pt>
                <c:pt idx="2">
                  <c:v>Market/Distributor/Supplier</c:v>
                </c:pt>
                <c:pt idx="3">
                  <c:v>Manufacturer/Processor</c:v>
                </c:pt>
                <c:pt idx="4">
                  <c:v>Retailer</c:v>
                </c:pt>
                <c:pt idx="5">
                  <c:v>Packer/Shipper/Wholesaler</c:v>
                </c:pt>
                <c:pt idx="6">
                  <c:v>Supply Chain Intermediaries</c:v>
                </c:pt>
                <c:pt idx="7">
                  <c:v>Food Donation Drive</c:v>
                </c:pt>
              </c:strCache>
            </c:strRef>
          </c:cat>
          <c:val>
            <c:numRef>
              <c:f>'VIEW ONLY Dashboard'!$E$21:$E$28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6770</c:v>
                </c:pt>
                <c:pt idx="4">
                  <c:v>938.1999999999997</c:v>
                </c:pt>
                <c:pt idx="5">
                  <c:v>0</c:v>
                </c:pt>
                <c:pt idx="6">
                  <c:v>0</c:v>
                </c:pt>
                <c:pt idx="7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CD4-47E6-984A-79DE4B3CF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Donated</a:t>
            </a:r>
            <a:r>
              <a:rPr lang="en-US" baseline="0"/>
              <a:t> vs. Purchased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'VIEW ONLY Dashboard'!$G$20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F6-4FEF-81E9-99BACD412D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F6-4FEF-81E9-99BACD412DE6}"/>
              </c:ext>
            </c:extLst>
          </c:dPt>
          <c:cat>
            <c:strRef>
              <c:f>'VIEW ONLY Dashboard'!$F$21:$F$22</c:f>
              <c:strCache>
                <c:ptCount val="2"/>
                <c:pt idx="0">
                  <c:v>Donated</c:v>
                </c:pt>
                <c:pt idx="1">
                  <c:v>Purchased</c:v>
                </c:pt>
              </c:strCache>
            </c:strRef>
          </c:cat>
          <c:val>
            <c:numRef>
              <c:f>'VIEW ONLY Dashboard'!$G$21:$G$22</c:f>
              <c:numCache>
                <c:formatCode>0</c:formatCode>
                <c:ptCount val="2"/>
                <c:pt idx="0">
                  <c:v>7716.8000000000065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8F6-4FEF-81E9-99BACD412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Distributed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'VIEW ONLY Dashboard'!$B$61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FF-4ACC-8733-0D74B7BAFC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FF-4ACC-8733-0D74B7BAFC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FF-4ACC-8733-0D74B7BAFC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FF-4ACC-8733-0D74B7BAFC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FF-4ACC-8733-0D74B7BAFC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FF-4ACC-8733-0D74B7BAFC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BFF-4ACC-8733-0D74B7BAFCC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BFF-4ACC-8733-0D74B7BAFCC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BFF-4ACC-8733-0D74B7BAFCC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BFF-4ACC-8733-0D74B7BAFCC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BFF-4ACC-8733-0D74B7BAFCC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BFF-4ACC-8733-0D74B7BAFCC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BFF-4ACC-8733-0D74B7BAFCC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BFF-4ACC-8733-0D74B7BAFCC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BFF-4ACC-8733-0D74B7BAFCC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BFF-4ACC-8733-0D74B7BAFCC5}"/>
              </c:ext>
            </c:extLst>
          </c:dPt>
          <c:cat>
            <c:strRef>
              <c:f>'VIEW ONLY Dashboard'!$A$62:$A$77</c:f>
              <c:strCache>
                <c:ptCount val="16"/>
                <c:pt idx="0">
                  <c:v>Bakery</c:v>
                </c:pt>
                <c:pt idx="1">
                  <c:v>Confectionary</c:v>
                </c:pt>
                <c:pt idx="2">
                  <c:v>Dairy</c:v>
                </c:pt>
                <c:pt idx="3">
                  <c:v>Fats &amp; Oils</c:v>
                </c:pt>
                <c:pt idx="4">
                  <c:v>Fruits &amp; Vegetables</c:v>
                </c:pt>
                <c:pt idx="5">
                  <c:v>Grains/Grain Products</c:v>
                </c:pt>
                <c:pt idx="6">
                  <c:v>Prepared Foods</c:v>
                </c:pt>
                <c:pt idx="7">
                  <c:v>Protein - Animal Based</c:v>
                </c:pt>
                <c:pt idx="8">
                  <c:v>Processed Cereals/Cereal Products</c:v>
                </c:pt>
                <c:pt idx="9">
                  <c:v>Ready-To-Eat Savouries</c:v>
                </c:pt>
                <c:pt idx="10">
                  <c:v>Sauces/Condiments/Seasonings</c:v>
                </c:pt>
                <c:pt idx="11">
                  <c:v>Special Nutritional Uses</c:v>
                </c:pt>
                <c:pt idx="12">
                  <c:v>Sweeteners</c:v>
                </c:pt>
                <c:pt idx="13">
                  <c:v>Beverage - Water</c:v>
                </c:pt>
                <c:pt idx="14">
                  <c:v>Beverage - Juices/Coffee/Tea</c:v>
                </c:pt>
                <c:pt idx="15">
                  <c:v>Beverage - Sweetened Beverages</c:v>
                </c:pt>
              </c:strCache>
            </c:strRef>
          </c:cat>
          <c:val>
            <c:numRef>
              <c:f>'VIEW ONLY Dashboard'!$B$62:$B$77</c:f>
              <c:numCache>
                <c:formatCode>General</c:formatCode>
                <c:ptCount val="16"/>
                <c:pt idx="0">
                  <c:v>37.600000000000009</c:v>
                </c:pt>
                <c:pt idx="1">
                  <c:v>0.75</c:v>
                </c:pt>
                <c:pt idx="2">
                  <c:v>0</c:v>
                </c:pt>
                <c:pt idx="3">
                  <c:v>0</c:v>
                </c:pt>
                <c:pt idx="4">
                  <c:v>6683.75</c:v>
                </c:pt>
                <c:pt idx="5">
                  <c:v>675.45</c:v>
                </c:pt>
                <c:pt idx="6">
                  <c:v>0</c:v>
                </c:pt>
                <c:pt idx="7">
                  <c:v>0.2</c:v>
                </c:pt>
                <c:pt idx="8">
                  <c:v>14.950000000000001</c:v>
                </c:pt>
                <c:pt idx="9">
                  <c:v>105.46</c:v>
                </c:pt>
                <c:pt idx="10">
                  <c:v>62.550000000000004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47.599999999999987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C-4E08-8517-B11524336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Received By Each Beneficiary Agency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 ONLY Dashboard'!$E$61</c:f>
              <c:strCache>
                <c:ptCount val="1"/>
                <c:pt idx="0">
                  <c:v>KG Received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 ONLY Dashboard'!$D$62:$D$102</c:f>
              <c:strCache>
                <c:ptCount val="41"/>
                <c:pt idx="0">
                  <c:v>4Freedom</c:v>
                </c:pt>
                <c:pt idx="1">
                  <c:v>ABSNET</c:v>
                </c:pt>
                <c:pt idx="2">
                  <c:v>NGO - Angat Semblante Helping Hands inc.</c:v>
                </c:pt>
                <c:pt idx="3">
                  <c:v>PASTORAL - Asilo dela Milagrosa</c:v>
                </c:pt>
                <c:pt idx="4">
                  <c:v>Barangay Basak</c:v>
                </c:pt>
                <c:pt idx="5">
                  <c:v>Barangay Camaro</c:v>
                </c:pt>
                <c:pt idx="6">
                  <c:v>Barangay Centro</c:v>
                </c:pt>
                <c:pt idx="7">
                  <c:v>Barangay Guizo</c:v>
                </c:pt>
                <c:pt idx="8">
                  <c:v>Barangay Jagobiao</c:v>
                </c:pt>
                <c:pt idx="9">
                  <c:v>Barangay Labogon</c:v>
                </c:pt>
                <c:pt idx="10">
                  <c:v>Barangay Maguikay</c:v>
                </c:pt>
                <c:pt idx="11">
                  <c:v>Barangay Opao</c:v>
                </c:pt>
                <c:pt idx="12">
                  <c:v>Barangay Paknaan</c:v>
                </c:pt>
                <c:pt idx="13">
                  <c:v>Barangay Subangdaku</c:v>
                </c:pt>
                <c:pt idx="14">
                  <c:v>Barangay Umapad</c:v>
                </c:pt>
                <c:pt idx="15">
                  <c:v>Brangay Basak</c:v>
                </c:pt>
                <c:pt idx="16">
                  <c:v>Brangay Looc</c:v>
                </c:pt>
                <c:pt idx="17">
                  <c:v>Bukas Palad Foundation</c:v>
                </c:pt>
                <c:pt idx="18">
                  <c:v>Cebu South</c:v>
                </c:pt>
                <c:pt idx="19">
                  <c:v>Dream Project Children with Special Needs</c:v>
                </c:pt>
                <c:pt idx="20">
                  <c:v>DVMF</c:v>
                </c:pt>
                <c:pt idx="21">
                  <c:v>Glory Reborn Org.</c:v>
                </c:pt>
                <c:pt idx="22">
                  <c:v>GMAC PHO</c:v>
                </c:pt>
                <c:pt idx="23">
                  <c:v>Gospel Community Christian Ministries</c:v>
                </c:pt>
                <c:pt idx="24">
                  <c:v>KAGAPF Zone</c:v>
                </c:pt>
                <c:pt idx="25">
                  <c:v>NGO - KIDS LIFE FOUNDATION</c:v>
                </c:pt>
                <c:pt idx="26">
                  <c:v>LGU - Barangay Tinago c/o Phil. Navy</c:v>
                </c:pt>
                <c:pt idx="27">
                  <c:v>LGU - Sto. Nino Malabuyoc, Cebu</c:v>
                </c:pt>
                <c:pt idx="28">
                  <c:v>LGU Medellin</c:v>
                </c:pt>
                <c:pt idx="29">
                  <c:v>Navy</c:v>
                </c:pt>
                <c:pt idx="30">
                  <c:v>NGO - Cebu Equalizer</c:v>
                </c:pt>
                <c:pt idx="31">
                  <c:v>NGO - Juanito King Foundation Inc.</c:v>
                </c:pt>
                <c:pt idx="32">
                  <c:v>PASTORAL - Mabolo Parish</c:v>
                </c:pt>
                <c:pt idx="33">
                  <c:v>Pinamungahan</c:v>
                </c:pt>
                <c:pt idx="34">
                  <c:v>PWD Mandaue Federation</c:v>
                </c:pt>
                <c:pt idx="35">
                  <c:v>PASTORAL - Redemptorist Church</c:v>
                </c:pt>
                <c:pt idx="36">
                  <c:v>NGO - Rise Above Foundation Cebu inc.</c:v>
                </c:pt>
                <c:pt idx="37">
                  <c:v>Rotary</c:v>
                </c:pt>
                <c:pt idx="38">
                  <c:v>PASTORAL - San Carlos Seminary </c:v>
                </c:pt>
                <c:pt idx="39">
                  <c:v>NGO - Seven Sisters Servants of Mary Elderly Home INC</c:v>
                </c:pt>
                <c:pt idx="40">
                  <c:v>Tabok</c:v>
                </c:pt>
              </c:strCache>
            </c:strRef>
          </c:cat>
          <c:val>
            <c:numRef>
              <c:f>'VIEW ONLY Dashboard'!$E$62:$E$102</c:f>
              <c:numCache>
                <c:formatCode>0.00</c:formatCode>
                <c:ptCount val="41"/>
                <c:pt idx="0">
                  <c:v>0</c:v>
                </c:pt>
                <c:pt idx="1">
                  <c:v>33.799999999999997</c:v>
                </c:pt>
                <c:pt idx="2">
                  <c:v>309.8</c:v>
                </c:pt>
                <c:pt idx="3">
                  <c:v>240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120</c:v>
                </c:pt>
                <c:pt idx="26">
                  <c:v>162.19999999999999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  <c:pt idx="30">
                  <c:v>314.30000000000013</c:v>
                </c:pt>
                <c:pt idx="31">
                  <c:v>2016.55</c:v>
                </c:pt>
                <c:pt idx="32">
                  <c:v>120</c:v>
                </c:pt>
                <c:pt idx="33">
                  <c:v>19.899999999999999</c:v>
                </c:pt>
                <c:pt idx="34">
                  <c:v>0</c:v>
                </c:pt>
                <c:pt idx="35">
                  <c:v>120</c:v>
                </c:pt>
                <c:pt idx="36">
                  <c:v>131.65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D-4649-8EDB-D62375EC3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974976"/>
        <c:axId val="259746048"/>
      </c:barChart>
      <c:catAx>
        <c:axId val="23897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46048"/>
        <c:crosses val="autoZero"/>
        <c:auto val="1"/>
        <c:lblAlgn val="ctr"/>
        <c:lblOffset val="100"/>
        <c:noMultiLvlLbl val="0"/>
      </c:catAx>
      <c:valAx>
        <c:axId val="2597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7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Realtime</a:t>
            </a:r>
            <a:r>
              <a:rPr lang="en-US" b="1" baseline="0"/>
              <a:t> </a:t>
            </a:r>
            <a:r>
              <a:rPr lang="en-US" b="1"/>
              <a:t>Inventory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 ONLY Realtime Inventory'!$B$4</c:f>
              <c:strCache>
                <c:ptCount val="1"/>
                <c:pt idx="0">
                  <c:v>Stocks on hand (kg)</c:v>
                </c:pt>
              </c:strCache>
            </c:strRef>
          </c:tx>
          <c:spPr>
            <a:solidFill>
              <a:srgbClr val="054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 ONLY Realtime Inventory'!$A$5:$A$23</c:f>
              <c:strCache>
                <c:ptCount val="19"/>
                <c:pt idx="0">
                  <c:v>Bakery</c:v>
                </c:pt>
                <c:pt idx="1">
                  <c:v>Beverage - Juices/Coffee/Tea</c:v>
                </c:pt>
                <c:pt idx="2">
                  <c:v>Beverage - Sweetened Beverages</c:v>
                </c:pt>
                <c:pt idx="3">
                  <c:v>Beverage - Water</c:v>
                </c:pt>
                <c:pt idx="4">
                  <c:v>Confectionary</c:v>
                </c:pt>
                <c:pt idx="5">
                  <c:v>Dairy</c:v>
                </c:pt>
                <c:pt idx="6">
                  <c:v>Fats &amp; Oils</c:v>
                </c:pt>
                <c:pt idx="7">
                  <c:v>Fruits &amp; Vegetables</c:v>
                </c:pt>
                <c:pt idx="8">
                  <c:v>Grains/Grain Products</c:v>
                </c:pt>
                <c:pt idx="9">
                  <c:v>Non-Food - Baby Products</c:v>
                </c:pt>
                <c:pt idx="10">
                  <c:v>Non-Food - Cleaning Products</c:v>
                </c:pt>
                <c:pt idx="11">
                  <c:v>Non-Food - Others</c:v>
                </c:pt>
                <c:pt idx="12">
                  <c:v>Non-Food - Personal Hygiene</c:v>
                </c:pt>
                <c:pt idx="13">
                  <c:v>Prepared Foods</c:v>
                </c:pt>
                <c:pt idx="14">
                  <c:v>Processed Cereals/Cereal Products</c:v>
                </c:pt>
                <c:pt idx="15">
                  <c:v>Protein - Animal Based</c:v>
                </c:pt>
                <c:pt idx="16">
                  <c:v>Ready-To-Eat Savouries</c:v>
                </c:pt>
                <c:pt idx="17">
                  <c:v>Sauces/Condiments/Seasonings</c:v>
                </c:pt>
                <c:pt idx="18">
                  <c:v>Special Nutritional Uses</c:v>
                </c:pt>
              </c:strCache>
            </c:strRef>
          </c:cat>
          <c:val>
            <c:numRef>
              <c:f>'VIEW ONLY Realtime Inventory'!$B$5:$B$23</c:f>
              <c:numCache>
                <c:formatCode>0.00</c:formatCode>
                <c:ptCount val="19"/>
                <c:pt idx="0">
                  <c:v>20.900000000000002</c:v>
                </c:pt>
                <c:pt idx="1">
                  <c:v>3.15</c:v>
                </c:pt>
                <c:pt idx="2">
                  <c:v>5.95</c:v>
                </c:pt>
                <c:pt idx="3">
                  <c:v>0</c:v>
                </c:pt>
                <c:pt idx="4">
                  <c:v>7.3</c:v>
                </c:pt>
                <c:pt idx="5">
                  <c:v>0</c:v>
                </c:pt>
                <c:pt idx="6">
                  <c:v>0</c:v>
                </c:pt>
                <c:pt idx="7">
                  <c:v>6807.3</c:v>
                </c:pt>
                <c:pt idx="8">
                  <c:v>628.99999999999989</c:v>
                </c:pt>
                <c:pt idx="9">
                  <c:v>0</c:v>
                </c:pt>
                <c:pt idx="10">
                  <c:v>0</c:v>
                </c:pt>
                <c:pt idx="11">
                  <c:v>133.35</c:v>
                </c:pt>
                <c:pt idx="12">
                  <c:v>2.7</c:v>
                </c:pt>
                <c:pt idx="13">
                  <c:v>2.5</c:v>
                </c:pt>
                <c:pt idx="14">
                  <c:v>16</c:v>
                </c:pt>
                <c:pt idx="15">
                  <c:v>3.9999999999999996</c:v>
                </c:pt>
                <c:pt idx="16">
                  <c:v>56.849999999999994</c:v>
                </c:pt>
                <c:pt idx="17">
                  <c:v>1.2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A-4B1C-952D-E0D94C1BA9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8972928"/>
        <c:axId val="262468672"/>
      </c:barChart>
      <c:catAx>
        <c:axId val="2389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68672"/>
        <c:crosses val="autoZero"/>
        <c:auto val="1"/>
        <c:lblAlgn val="ctr"/>
        <c:lblOffset val="100"/>
        <c:noMultiLvlLbl val="0"/>
      </c:catAx>
      <c:valAx>
        <c:axId val="2624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7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</xdr:rowOff>
    </xdr:from>
    <xdr:to>
      <xdr:col>3</xdr:col>
      <xdr:colOff>6350</xdr:colOff>
      <xdr:row>19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036F6-09A1-327C-A572-6D7248324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4</xdr:row>
      <xdr:rowOff>1</xdr:rowOff>
    </xdr:from>
    <xdr:to>
      <xdr:col>5</xdr:col>
      <xdr:colOff>9525</xdr:colOff>
      <xdr:row>19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558D6F-72C1-49B3-ABC2-7C6AEEAF5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</xdr:row>
      <xdr:rowOff>1</xdr:rowOff>
    </xdr:from>
    <xdr:to>
      <xdr:col>7</xdr:col>
      <xdr:colOff>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00B8C7-52F7-492C-B96D-63CE7D2E2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45</xdr:row>
      <xdr:rowOff>679</xdr:rowOff>
    </xdr:from>
    <xdr:to>
      <xdr:col>3</xdr:col>
      <xdr:colOff>8618</xdr:colOff>
      <xdr:row>60</xdr:row>
      <xdr:rowOff>5442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1B24697-77C4-46F1-708A-28472FB95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721278</xdr:colOff>
      <xdr:row>45</xdr:row>
      <xdr:rowOff>139</xdr:rowOff>
    </xdr:from>
    <xdr:to>
      <xdr:col>5</xdr:col>
      <xdr:colOff>2809875</xdr:colOff>
      <xdr:row>60</xdr:row>
      <xdr:rowOff>6350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64C91E1-518D-874B-5E98-3B38739A6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180975</xdr:rowOff>
    </xdr:from>
    <xdr:to>
      <xdr:col>14</xdr:col>
      <xdr:colOff>0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900B9-E455-7373-BB87-6EC3DB4BA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zel Quek" id="{56509869-16F5-4514-977E-9D1BF64E76B8}" userId="S::hquek@foodbanking.org::ace15f98-7b11-4ca5-99fc-3d70d20609f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1" dT="2024-12-06T05:53:31.82" personId="{56509869-16F5-4514-977E-9D1BF64E76B8}" id="{E5545BBD-29BE-464F-8A6F-77281CC6939A}">
    <text>Pending info on new Beneficiary Agencies highlighted in Red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46" dT="2024-08-01T07:32:06.69" personId="{56509869-16F5-4514-977E-9D1BF64E76B8}" id="{DA7D5FB4-0322-4C80-85CF-081AE60BBAF2}">
    <text>Not filled out, hence Product Distributed chart was inaccurate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"/>
  <sheetViews>
    <sheetView workbookViewId="0">
      <selection activeCell="C21" sqref="C21"/>
    </sheetView>
  </sheetViews>
  <sheetFormatPr baseColWidth="10" defaultColWidth="8.6640625" defaultRowHeight="15" x14ac:dyDescent="0.2"/>
  <cols>
    <col min="1" max="2" width="8.6640625" style="34"/>
    <col min="3" max="3" width="50.5" style="33" customWidth="1"/>
    <col min="4" max="4" width="20.5" style="34" customWidth="1"/>
    <col min="5" max="5" width="20.5" style="33" customWidth="1"/>
    <col min="6" max="16384" width="8.6640625" style="34"/>
  </cols>
  <sheetData>
    <row r="1" spans="2:5" ht="16" thickBot="1" x14ac:dyDescent="0.25"/>
    <row r="2" spans="2:5" ht="17" thickBot="1" x14ac:dyDescent="0.25">
      <c r="B2" s="45"/>
      <c r="C2" s="40" t="s">
        <v>111</v>
      </c>
      <c r="D2" s="41" t="s">
        <v>112</v>
      </c>
      <c r="E2" s="42" t="s">
        <v>113</v>
      </c>
    </row>
    <row r="3" spans="2:5" ht="144" x14ac:dyDescent="0.2">
      <c r="B3" s="43">
        <v>1</v>
      </c>
      <c r="C3" s="35" t="s">
        <v>119</v>
      </c>
      <c r="D3" s="67"/>
      <c r="E3" s="36" t="s">
        <v>115</v>
      </c>
    </row>
    <row r="4" spans="2:5" ht="32" x14ac:dyDescent="0.2">
      <c r="B4" s="43">
        <v>2</v>
      </c>
      <c r="C4" s="35" t="s">
        <v>120</v>
      </c>
      <c r="D4" s="67" t="s">
        <v>118</v>
      </c>
      <c r="E4" s="36" t="s">
        <v>114</v>
      </c>
    </row>
    <row r="5" spans="2:5" ht="16" x14ac:dyDescent="0.2">
      <c r="B5" s="43">
        <v>3</v>
      </c>
      <c r="C5" s="35" t="s">
        <v>121</v>
      </c>
      <c r="D5" s="67" t="s">
        <v>117</v>
      </c>
      <c r="E5" s="36" t="s">
        <v>116</v>
      </c>
    </row>
    <row r="6" spans="2:5" ht="17" thickBot="1" x14ac:dyDescent="0.25">
      <c r="B6" s="44">
        <v>4</v>
      </c>
      <c r="C6" s="37" t="s">
        <v>122</v>
      </c>
      <c r="D6" s="38" t="s">
        <v>117</v>
      </c>
      <c r="E6" s="39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5"/>
  <sheetViews>
    <sheetView tabSelected="1" topLeftCell="A47" zoomScaleNormal="100" workbookViewId="0">
      <selection activeCell="I64" sqref="I64"/>
    </sheetView>
  </sheetViews>
  <sheetFormatPr baseColWidth="10" defaultColWidth="8.6640625" defaultRowHeight="15" x14ac:dyDescent="0.2"/>
  <cols>
    <col min="1" max="1" width="40.5" style="73" customWidth="1"/>
    <col min="2" max="3" width="10.5" style="73" customWidth="1"/>
    <col min="4" max="4" width="40.5" style="73" customWidth="1"/>
    <col min="5" max="5" width="10.5" style="73" customWidth="1"/>
    <col min="6" max="6" width="40.5" style="73" customWidth="1"/>
    <col min="7" max="7" width="10.5" style="73" customWidth="1"/>
    <col min="8" max="8" width="8.6640625" style="73"/>
    <col min="9" max="9" width="25.6640625" style="73" customWidth="1"/>
    <col min="10" max="10" width="10.6640625" style="73" customWidth="1"/>
    <col min="11" max="16384" width="8.6640625" style="73"/>
  </cols>
  <sheetData>
    <row r="1" spans="1:11" s="68" customFormat="1" x14ac:dyDescent="0.2">
      <c r="A1" s="62" t="s">
        <v>0</v>
      </c>
      <c r="B1" s="68" t="s">
        <v>40</v>
      </c>
      <c r="E1" s="69" t="s">
        <v>88</v>
      </c>
    </row>
    <row r="2" spans="1:11" s="68" customFormat="1" x14ac:dyDescent="0.2">
      <c r="A2" s="62" t="s">
        <v>172</v>
      </c>
      <c r="B2" s="70">
        <v>45597</v>
      </c>
      <c r="C2" s="70"/>
    </row>
    <row r="3" spans="1:11" s="68" customFormat="1" x14ac:dyDescent="0.2">
      <c r="A3" s="71"/>
      <c r="H3" s="71"/>
      <c r="I3" s="71"/>
      <c r="J3" s="71"/>
      <c r="K3" s="71"/>
    </row>
    <row r="4" spans="1:11" x14ac:dyDescent="0.2">
      <c r="A4" s="81" t="s">
        <v>171</v>
      </c>
      <c r="B4" s="72"/>
      <c r="C4" s="72"/>
      <c r="D4" s="72"/>
      <c r="E4" s="72"/>
      <c r="F4" s="72"/>
      <c r="G4" s="72"/>
      <c r="H4" s="71"/>
      <c r="I4" s="71"/>
      <c r="J4" s="71"/>
      <c r="K4" s="71"/>
    </row>
    <row r="5" spans="1:11" x14ac:dyDescent="0.2">
      <c r="H5" s="71"/>
      <c r="I5" s="71"/>
      <c r="J5" s="71"/>
      <c r="K5" s="71"/>
    </row>
    <row r="6" spans="1:11" x14ac:dyDescent="0.2">
      <c r="H6" s="71"/>
      <c r="I6" s="71"/>
      <c r="J6" s="71"/>
      <c r="K6" s="71"/>
    </row>
    <row r="7" spans="1:11" x14ac:dyDescent="0.2">
      <c r="H7" s="71"/>
      <c r="I7" s="71"/>
      <c r="J7" s="71"/>
      <c r="K7" s="71"/>
    </row>
    <row r="8" spans="1:11" x14ac:dyDescent="0.2">
      <c r="H8" s="71"/>
      <c r="I8" s="71"/>
      <c r="J8" s="71"/>
      <c r="K8" s="71"/>
    </row>
    <row r="9" spans="1:11" x14ac:dyDescent="0.2">
      <c r="H9" s="71"/>
      <c r="I9" s="71"/>
      <c r="J9" s="71"/>
      <c r="K9" s="71"/>
    </row>
    <row r="10" spans="1:11" x14ac:dyDescent="0.2">
      <c r="H10" s="71"/>
      <c r="I10" s="71"/>
      <c r="J10" s="71"/>
      <c r="K10" s="71"/>
    </row>
    <row r="11" spans="1:11" x14ac:dyDescent="0.2">
      <c r="H11" s="71"/>
      <c r="I11" s="71"/>
      <c r="J11" s="71"/>
      <c r="K11" s="71"/>
    </row>
    <row r="12" spans="1:11" x14ac:dyDescent="0.2">
      <c r="H12" s="71"/>
      <c r="I12" s="71"/>
      <c r="J12" s="71"/>
      <c r="K12" s="71"/>
    </row>
    <row r="13" spans="1:11" x14ac:dyDescent="0.2">
      <c r="H13" s="71"/>
      <c r="I13" s="71"/>
      <c r="J13" s="71"/>
      <c r="K13" s="71"/>
    </row>
    <row r="14" spans="1:11" x14ac:dyDescent="0.2">
      <c r="H14" s="71"/>
      <c r="I14" s="71"/>
      <c r="J14" s="71"/>
      <c r="K14" s="71"/>
    </row>
    <row r="15" spans="1:11" x14ac:dyDescent="0.2">
      <c r="H15" s="71"/>
      <c r="I15" s="71"/>
      <c r="J15" s="71"/>
      <c r="K15" s="71"/>
    </row>
    <row r="16" spans="1:11" x14ac:dyDescent="0.2">
      <c r="H16" s="71"/>
      <c r="I16" s="71"/>
      <c r="J16" s="71"/>
      <c r="K16" s="71"/>
    </row>
    <row r="17" spans="1:11" x14ac:dyDescent="0.2">
      <c r="H17" s="71"/>
      <c r="I17" s="71"/>
      <c r="J17" s="71"/>
      <c r="K17" s="71"/>
    </row>
    <row r="18" spans="1:11" x14ac:dyDescent="0.2">
      <c r="H18" s="71"/>
      <c r="I18" s="71"/>
      <c r="J18" s="71"/>
      <c r="K18" s="71"/>
    </row>
    <row r="19" spans="1:11" x14ac:dyDescent="0.2">
      <c r="H19" s="71"/>
      <c r="I19" s="71"/>
      <c r="J19" s="71"/>
      <c r="K19" s="71"/>
    </row>
    <row r="20" spans="1:11" ht="12.75" customHeight="1" x14ac:dyDescent="0.2">
      <c r="A20" s="68" t="s">
        <v>3</v>
      </c>
      <c r="B20" s="68" t="s">
        <v>5</v>
      </c>
      <c r="C20" s="68" t="s">
        <v>173</v>
      </c>
      <c r="D20" s="68" t="s">
        <v>27</v>
      </c>
      <c r="E20" s="68" t="s">
        <v>5</v>
      </c>
      <c r="F20" s="68" t="s">
        <v>35</v>
      </c>
      <c r="G20" s="68" t="s">
        <v>5</v>
      </c>
      <c r="H20" s="71"/>
      <c r="I20" s="71"/>
      <c r="J20" s="71"/>
      <c r="K20" s="71"/>
    </row>
    <row r="21" spans="1:11" x14ac:dyDescent="0.2">
      <c r="A21" s="73" t="s">
        <v>15</v>
      </c>
      <c r="B21" s="74">
        <f>SUMIF('Product In'!E:E,'VIEW ONLY Dashboard'!A21,'Product In'!I:I)</f>
        <v>20.900000000000002</v>
      </c>
      <c r="C21" s="75">
        <f>B21/SUM($B$21:$B$41)</f>
        <v>2.7083765291312464E-3</v>
      </c>
      <c r="D21" s="73" t="s">
        <v>28</v>
      </c>
      <c r="E21" s="74">
        <f>SUMIF('Product In'!D:D,'VIEW ONLY Dashboard'!D21,'Product In'!I:I)</f>
        <v>0</v>
      </c>
      <c r="F21" s="73" t="s">
        <v>41</v>
      </c>
      <c r="G21" s="74">
        <f>SUMIF('Product In'!L:L,'VIEW ONLY Dashboard'!F21,'Product In'!I:I)</f>
        <v>7716.8000000000065</v>
      </c>
      <c r="H21" s="71"/>
      <c r="I21" s="71"/>
      <c r="J21" s="71"/>
      <c r="K21" s="71"/>
    </row>
    <row r="22" spans="1:11" x14ac:dyDescent="0.2">
      <c r="A22" s="73" t="s">
        <v>14</v>
      </c>
      <c r="B22" s="74">
        <f>SUMIF('Product In'!E:E,'VIEW ONLY Dashboard'!A22,'Product In'!I:I)</f>
        <v>7.3</v>
      </c>
      <c r="C22" s="75">
        <f t="shared" ref="C22:C41" si="0">B22/SUM($B$21:$B$41)</f>
        <v>9.4598797428986105E-4</v>
      </c>
      <c r="D22" s="73" t="s">
        <v>33</v>
      </c>
      <c r="E22" s="74">
        <f>SUMIF('Product In'!D:D,'VIEW ONLY Dashboard'!D22,'Product In'!I:I)</f>
        <v>0</v>
      </c>
      <c r="F22" s="73" t="s">
        <v>42</v>
      </c>
      <c r="G22" s="76">
        <f>SUMIF('Product In'!L:L,'VIEW ONLY Dashboard'!F22,'Product In'!I:I)</f>
        <v>0</v>
      </c>
      <c r="H22" s="71"/>
      <c r="I22" s="71"/>
      <c r="J22" s="71"/>
      <c r="K22" s="71"/>
    </row>
    <row r="23" spans="1:11" x14ac:dyDescent="0.2">
      <c r="A23" s="73" t="s">
        <v>11</v>
      </c>
      <c r="B23" s="74">
        <f>SUMIF('Product In'!E:E,'VIEW ONLY Dashboard'!A23,'Product In'!I:I)</f>
        <v>0</v>
      </c>
      <c r="C23" s="75">
        <f t="shared" si="0"/>
        <v>0</v>
      </c>
      <c r="D23" s="73" t="s">
        <v>30</v>
      </c>
      <c r="E23" s="74">
        <f>SUMIF('Product In'!D:D,'VIEW ONLY Dashboard'!D23,'Product In'!I:I)</f>
        <v>0</v>
      </c>
      <c r="H23" s="71"/>
      <c r="I23" s="71"/>
      <c r="J23" s="71"/>
      <c r="K23" s="71"/>
    </row>
    <row r="24" spans="1:11" x14ac:dyDescent="0.2">
      <c r="A24" s="73" t="s">
        <v>12</v>
      </c>
      <c r="B24" s="74">
        <f>SUMIF('Product In'!E:E,'VIEW ONLY Dashboard'!A24,'Product In'!I:I)</f>
        <v>0</v>
      </c>
      <c r="C24" s="75">
        <f t="shared" si="0"/>
        <v>0</v>
      </c>
      <c r="D24" s="73" t="s">
        <v>31</v>
      </c>
      <c r="E24" s="74">
        <f>SUMIF('Product In'!D:D,'VIEW ONLY Dashboard'!D24,'Product In'!I:I)</f>
        <v>6770</v>
      </c>
      <c r="H24" s="74"/>
      <c r="J24" s="74"/>
    </row>
    <row r="25" spans="1:11" x14ac:dyDescent="0.2">
      <c r="A25" s="73" t="s">
        <v>13</v>
      </c>
      <c r="B25" s="74">
        <f>SUMIF('Product In'!E:E,'VIEW ONLY Dashboard'!A25,'Product In'!I:I)</f>
        <v>6807.3</v>
      </c>
      <c r="C25" s="75">
        <f t="shared" si="0"/>
        <v>0.88214026539498236</v>
      </c>
      <c r="D25" s="73" t="s">
        <v>32</v>
      </c>
      <c r="E25" s="149">
        <f>SUMIF('Product In'!D:D,'VIEW ONLY Dashboard'!D25,'Product In'!I:I)</f>
        <v>938.1999999999997</v>
      </c>
      <c r="H25" s="74"/>
      <c r="J25" s="74"/>
    </row>
    <row r="26" spans="1:11" x14ac:dyDescent="0.2">
      <c r="A26" s="73" t="s">
        <v>16</v>
      </c>
      <c r="B26" s="74">
        <f>SUMIF('Product In'!E:E,'VIEW ONLY Dashboard'!A26,'Product In'!I:I)</f>
        <v>628.99999999999989</v>
      </c>
      <c r="C26" s="75">
        <f t="shared" si="0"/>
        <v>8.1510470661414036E-2</v>
      </c>
      <c r="D26" s="73" t="s">
        <v>29</v>
      </c>
      <c r="E26" s="74">
        <f>SUMIF('Product In'!D:D,'VIEW ONLY Dashboard'!D26,'Product In'!I:I)</f>
        <v>0</v>
      </c>
      <c r="H26" s="74"/>
      <c r="J26" s="74"/>
    </row>
    <row r="27" spans="1:11" x14ac:dyDescent="0.2">
      <c r="A27" s="73" t="s">
        <v>25</v>
      </c>
      <c r="B27" s="74">
        <f>SUMIF('Product In'!E:E,'VIEW ONLY Dashboard'!A27,'Product In'!I:I)</f>
        <v>2.5</v>
      </c>
      <c r="C27" s="75">
        <f t="shared" si="0"/>
        <v>3.2396848434584284E-4</v>
      </c>
      <c r="D27" s="73" t="s">
        <v>34</v>
      </c>
      <c r="E27" s="74">
        <f>SUMIF('Product In'!D:D,'VIEW ONLY Dashboard'!D27,'Product In'!I:I)</f>
        <v>0</v>
      </c>
      <c r="H27" s="74"/>
      <c r="J27" s="74"/>
    </row>
    <row r="28" spans="1:11" x14ac:dyDescent="0.2">
      <c r="A28" s="73" t="s">
        <v>19</v>
      </c>
      <c r="B28" s="74">
        <f>SUMIF('Product In'!E:E,'VIEW ONLY Dashboard'!A28,'Product In'!I:I)</f>
        <v>3.9999999999999996</v>
      </c>
      <c r="C28" s="75">
        <f t="shared" si="0"/>
        <v>5.1834957495334847E-4</v>
      </c>
      <c r="D28" s="73" t="s">
        <v>320</v>
      </c>
      <c r="E28" s="74">
        <f>SUMIF('Product In'!D:D,'VIEW ONLY Dashboard'!D28,'Product In'!I:I)</f>
        <v>8.6</v>
      </c>
      <c r="H28" s="74"/>
      <c r="J28" s="74"/>
    </row>
    <row r="29" spans="1:11" x14ac:dyDescent="0.2">
      <c r="A29" s="73" t="s">
        <v>17</v>
      </c>
      <c r="B29" s="74">
        <f>SUMIF('Product In'!E:E,'VIEW ONLY Dashboard'!A29,'Product In'!I:I)</f>
        <v>16</v>
      </c>
      <c r="C29" s="75">
        <f t="shared" si="0"/>
        <v>2.0733982998133939E-3</v>
      </c>
      <c r="D29" s="68"/>
      <c r="E29" s="77"/>
      <c r="F29" s="68"/>
      <c r="G29" s="77"/>
      <c r="H29" s="74"/>
      <c r="J29" s="74"/>
    </row>
    <row r="30" spans="1:11" x14ac:dyDescent="0.2">
      <c r="A30" s="73" t="s">
        <v>20</v>
      </c>
      <c r="B30" s="74">
        <f>SUMIF('Product In'!E:E,'VIEW ONLY Dashboard'!A30,'Product In'!I:I)</f>
        <v>56.849999999999994</v>
      </c>
      <c r="C30" s="75">
        <f t="shared" si="0"/>
        <v>7.3670433340244654E-3</v>
      </c>
      <c r="D30" s="68"/>
      <c r="E30" s="77"/>
      <c r="H30" s="74"/>
      <c r="J30" s="74"/>
    </row>
    <row r="31" spans="1:11" x14ac:dyDescent="0.2">
      <c r="A31" s="73" t="s">
        <v>21</v>
      </c>
      <c r="B31" s="74">
        <f>SUMIF('Product In'!E:E,'VIEW ONLY Dashboard'!A31,'Product In'!I:I)</f>
        <v>1.2</v>
      </c>
      <c r="C31" s="75">
        <f t="shared" si="0"/>
        <v>1.5550487248600455E-4</v>
      </c>
      <c r="D31" s="68"/>
      <c r="E31" s="77"/>
      <c r="H31" s="74"/>
      <c r="J31" s="74"/>
    </row>
    <row r="32" spans="1:11" ht="16" thickBot="1" x14ac:dyDescent="0.25">
      <c r="A32" s="73" t="s">
        <v>18</v>
      </c>
      <c r="B32" s="74">
        <f>SUMIF('Product In'!E:E,'VIEW ONLY Dashboard'!A32,'Product In'!I:I)</f>
        <v>0</v>
      </c>
      <c r="C32" s="75">
        <f t="shared" si="0"/>
        <v>0</v>
      </c>
      <c r="D32" s="68"/>
      <c r="E32" s="77"/>
      <c r="H32" s="74"/>
      <c r="J32" s="74"/>
    </row>
    <row r="33" spans="1:10" x14ac:dyDescent="0.2">
      <c r="A33" s="73" t="s">
        <v>26</v>
      </c>
      <c r="B33" s="74">
        <f>SUMIF('Product In'!E:E,'VIEW ONLY Dashboard'!A33,'Product In'!I:I)</f>
        <v>0</v>
      </c>
      <c r="C33" s="75">
        <f t="shared" si="0"/>
        <v>0</v>
      </c>
      <c r="D33" s="68"/>
      <c r="E33" s="77"/>
      <c r="F33" s="86" t="s">
        <v>176</v>
      </c>
      <c r="G33" s="87"/>
      <c r="J33" s="74"/>
    </row>
    <row r="34" spans="1:10" x14ac:dyDescent="0.2">
      <c r="A34" s="73" t="s">
        <v>22</v>
      </c>
      <c r="B34" s="74">
        <f>SUMIF('Product In'!E:E,'VIEW ONLY Dashboard'!A34,'Product In'!I:I)</f>
        <v>0</v>
      </c>
      <c r="C34" s="75">
        <f t="shared" si="0"/>
        <v>0</v>
      </c>
      <c r="D34" s="68"/>
      <c r="E34" s="77"/>
      <c r="F34" s="88" t="s">
        <v>181</v>
      </c>
      <c r="G34" s="89">
        <f>SUM(B21:B41)</f>
        <v>7716.8</v>
      </c>
      <c r="J34" s="74"/>
    </row>
    <row r="35" spans="1:10" x14ac:dyDescent="0.2">
      <c r="A35" s="73" t="s">
        <v>23</v>
      </c>
      <c r="B35" s="74">
        <f>SUMIF('Product In'!E:E,'VIEW ONLY Dashboard'!A35,'Product In'!I:I)</f>
        <v>3.15</v>
      </c>
      <c r="C35" s="75">
        <f t="shared" si="0"/>
        <v>4.0820029027576198E-4</v>
      </c>
      <c r="D35" s="68"/>
      <c r="E35" s="77"/>
      <c r="F35" s="88" t="s">
        <v>174</v>
      </c>
      <c r="G35" s="148">
        <f>SUM(E21:E28)</f>
        <v>7716.8</v>
      </c>
      <c r="J35" s="74"/>
    </row>
    <row r="36" spans="1:10" ht="16" thickBot="1" x14ac:dyDescent="0.25">
      <c r="A36" s="73" t="s">
        <v>24</v>
      </c>
      <c r="B36" s="74">
        <f>SUMIF('Product In'!E:E,'VIEW ONLY Dashboard'!A36,'Product In'!I:I)</f>
        <v>5.95</v>
      </c>
      <c r="C36" s="75">
        <f t="shared" si="0"/>
        <v>7.7104499274310595E-4</v>
      </c>
      <c r="D36" s="68"/>
      <c r="E36" s="77"/>
      <c r="F36" s="90" t="s">
        <v>175</v>
      </c>
      <c r="G36" s="91">
        <f>SUM(G21:G22)</f>
        <v>7716.8000000000065</v>
      </c>
      <c r="J36" s="74"/>
    </row>
    <row r="37" spans="1:10" ht="16" thickBot="1" x14ac:dyDescent="0.25">
      <c r="A37" s="99" t="s">
        <v>146</v>
      </c>
      <c r="B37" s="74">
        <f>SUMIF('Product In'!E:E,'VIEW ONLY Dashboard'!A37,'Product In'!I:I)</f>
        <v>2.7</v>
      </c>
      <c r="C37" s="75">
        <f t="shared" si="0"/>
        <v>3.498859630935103E-4</v>
      </c>
      <c r="D37" s="68"/>
      <c r="E37" s="77"/>
      <c r="J37" s="74"/>
    </row>
    <row r="38" spans="1:10" x14ac:dyDescent="0.2">
      <c r="A38" s="99" t="s">
        <v>147</v>
      </c>
      <c r="B38" s="74">
        <f>SUMIF('Product In'!E:E,'VIEW ONLY Dashboard'!A38,'Product In'!I:I)</f>
        <v>0</v>
      </c>
      <c r="C38" s="75">
        <f t="shared" si="0"/>
        <v>0</v>
      </c>
      <c r="D38" s="68"/>
      <c r="E38" s="77"/>
      <c r="F38" s="86" t="s">
        <v>176</v>
      </c>
      <c r="G38" s="87"/>
      <c r="J38" s="74"/>
    </row>
    <row r="39" spans="1:10" x14ac:dyDescent="0.2">
      <c r="A39" s="99" t="s">
        <v>148</v>
      </c>
      <c r="B39" s="74">
        <f>SUMIF('Product In'!E:E,'VIEW ONLY Dashboard'!A39,'Product In'!I:I)</f>
        <v>0</v>
      </c>
      <c r="C39" s="75">
        <f t="shared" si="0"/>
        <v>0</v>
      </c>
      <c r="D39" s="68"/>
      <c r="E39" s="77"/>
      <c r="F39" s="88" t="s">
        <v>182</v>
      </c>
      <c r="G39" s="89">
        <f>SUM(B62:B82)</f>
        <v>7717.96</v>
      </c>
      <c r="J39" s="74"/>
    </row>
    <row r="40" spans="1:10" ht="16" thickBot="1" x14ac:dyDescent="0.25">
      <c r="A40" s="99" t="s">
        <v>149</v>
      </c>
      <c r="B40" s="74">
        <f>SUMIF('Product In'!E:E,'VIEW ONLY Dashboard'!A40,'Product In'!I:I)</f>
        <v>133.35</v>
      </c>
      <c r="C40" s="75">
        <f t="shared" si="0"/>
        <v>1.7280478955007256E-2</v>
      </c>
      <c r="F40" s="90" t="s">
        <v>174</v>
      </c>
      <c r="G40" s="91">
        <f>SUM(E62:E202)</f>
        <v>4120.7000000000007</v>
      </c>
      <c r="J40" s="74"/>
    </row>
    <row r="41" spans="1:10" x14ac:dyDescent="0.2">
      <c r="A41" s="99" t="s">
        <v>168</v>
      </c>
      <c r="B41" s="74">
        <f>SUMIF('Product In'!E:E,'VIEW ONLY Dashboard'!A41,'Product In'!I:I)</f>
        <v>26.6</v>
      </c>
      <c r="C41" s="75">
        <f t="shared" si="0"/>
        <v>3.4470246734397678E-3</v>
      </c>
      <c r="F41" s="92" t="s">
        <v>178</v>
      </c>
      <c r="J41" s="74"/>
    </row>
    <row r="42" spans="1:10" x14ac:dyDescent="0.2">
      <c r="A42" s="84" t="s">
        <v>318</v>
      </c>
      <c r="B42" s="80">
        <f>SUM(B21:B36)</f>
        <v>7554.15</v>
      </c>
      <c r="C42" s="80"/>
      <c r="F42" s="92"/>
      <c r="J42" s="74"/>
    </row>
    <row r="43" spans="1:10" x14ac:dyDescent="0.2">
      <c r="A43" s="84" t="s">
        <v>319</v>
      </c>
      <c r="B43" s="80">
        <f>SUM(B37:B41)</f>
        <v>162.64999999999998</v>
      </c>
      <c r="C43" s="80"/>
      <c r="F43" s="92"/>
      <c r="J43" s="74"/>
    </row>
    <row r="45" spans="1:10" x14ac:dyDescent="0.2">
      <c r="A45" s="81" t="s">
        <v>170</v>
      </c>
      <c r="B45" s="72"/>
      <c r="C45" s="72"/>
      <c r="D45" s="78"/>
      <c r="E45" s="78"/>
      <c r="F45" s="78"/>
      <c r="G45" s="78"/>
      <c r="H45" s="78"/>
      <c r="I45" s="78"/>
      <c r="J45" s="78"/>
    </row>
    <row r="46" spans="1:10" x14ac:dyDescent="0.2">
      <c r="F46" s="68"/>
      <c r="G46" s="68"/>
    </row>
    <row r="47" spans="1:10" x14ac:dyDescent="0.2">
      <c r="F47" s="68"/>
      <c r="G47" s="82"/>
      <c r="H47" s="61" t="s">
        <v>153</v>
      </c>
      <c r="I47" s="72"/>
      <c r="J47" s="72"/>
    </row>
    <row r="48" spans="1:10" x14ac:dyDescent="0.2">
      <c r="F48" s="68"/>
      <c r="G48" s="82"/>
      <c r="H48" s="61"/>
      <c r="I48" s="72"/>
      <c r="J48" s="72"/>
    </row>
    <row r="49" spans="1:10" x14ac:dyDescent="0.2">
      <c r="F49" s="68"/>
      <c r="G49" s="82"/>
      <c r="H49" s="61" t="s">
        <v>154</v>
      </c>
      <c r="I49" s="72"/>
      <c r="J49" s="83">
        <f>SUM(B83)</f>
        <v>7628.31</v>
      </c>
    </row>
    <row r="50" spans="1:10" x14ac:dyDescent="0.2">
      <c r="F50" s="68"/>
      <c r="G50" s="82"/>
      <c r="H50" s="61" t="s">
        <v>155</v>
      </c>
      <c r="I50" s="72"/>
      <c r="J50" s="81">
        <v>23</v>
      </c>
    </row>
    <row r="51" spans="1:10" x14ac:dyDescent="0.2">
      <c r="F51" s="68"/>
      <c r="G51" s="82"/>
      <c r="H51" s="61" t="s">
        <v>156</v>
      </c>
      <c r="I51" s="72"/>
      <c r="J51" s="108" t="e">
        <f>SUM(F62:F84)</f>
        <v>#N/A</v>
      </c>
    </row>
    <row r="52" spans="1:10" x14ac:dyDescent="0.2">
      <c r="F52" s="68"/>
      <c r="G52" s="82"/>
      <c r="H52" s="61" t="s">
        <v>157</v>
      </c>
      <c r="I52" s="72"/>
      <c r="J52" s="83">
        <f>B64</f>
        <v>0</v>
      </c>
    </row>
    <row r="53" spans="1:10" x14ac:dyDescent="0.2">
      <c r="F53" s="68"/>
      <c r="G53" s="82"/>
      <c r="H53" s="61" t="s">
        <v>158</v>
      </c>
      <c r="I53" s="72"/>
      <c r="J53" s="83">
        <f>B66</f>
        <v>6683.75</v>
      </c>
    </row>
    <row r="54" spans="1:10" x14ac:dyDescent="0.2">
      <c r="F54" s="68"/>
      <c r="G54" s="82"/>
      <c r="H54" s="61" t="s">
        <v>159</v>
      </c>
      <c r="I54" s="72"/>
      <c r="J54" s="83">
        <f>B67</f>
        <v>675.45</v>
      </c>
    </row>
    <row r="55" spans="1:10" x14ac:dyDescent="0.2">
      <c r="F55" s="68"/>
      <c r="G55" s="82"/>
      <c r="H55" s="61" t="s">
        <v>160</v>
      </c>
      <c r="I55" s="72"/>
      <c r="J55" s="83">
        <f>B69</f>
        <v>0.2</v>
      </c>
    </row>
    <row r="56" spans="1:10" x14ac:dyDescent="0.2">
      <c r="F56" s="68"/>
      <c r="G56" s="82"/>
    </row>
    <row r="57" spans="1:10" x14ac:dyDescent="0.2">
      <c r="F57" s="68"/>
      <c r="G57" s="82"/>
    </row>
    <row r="58" spans="1:10" x14ac:dyDescent="0.2">
      <c r="F58" s="68"/>
      <c r="G58" s="82"/>
    </row>
    <row r="59" spans="1:10" x14ac:dyDescent="0.2">
      <c r="F59" s="68"/>
      <c r="G59" s="82"/>
    </row>
    <row r="60" spans="1:10" x14ac:dyDescent="0.2">
      <c r="F60" s="68"/>
      <c r="G60" s="82"/>
    </row>
    <row r="61" spans="1:10" x14ac:dyDescent="0.2">
      <c r="A61" s="68" t="s">
        <v>3</v>
      </c>
      <c r="B61" s="68" t="s">
        <v>5</v>
      </c>
      <c r="C61" s="68" t="s">
        <v>173</v>
      </c>
      <c r="D61" s="68" t="s">
        <v>94</v>
      </c>
      <c r="E61" s="68" t="s">
        <v>163</v>
      </c>
      <c r="F61" s="68" t="s">
        <v>177</v>
      </c>
      <c r="G61" s="82"/>
    </row>
    <row r="62" spans="1:10" x14ac:dyDescent="0.2">
      <c r="A62" s="73" t="s">
        <v>15</v>
      </c>
      <c r="B62" s="73">
        <f>SUMIF('Product Out'!E:E,'VIEW ONLY Dashboard'!A62,'Product Out'!H:H)</f>
        <v>37.600000000000009</v>
      </c>
      <c r="C62" s="75">
        <f>B62/SUM($B$62:$B$82)</f>
        <v>4.8717536758418039E-3</v>
      </c>
      <c r="D62" s="101" t="s">
        <v>563</v>
      </c>
      <c r="E62" s="147">
        <f>SUMIF('Product Out'!C:C,D62,'Product Out'!H:H)</f>
        <v>0</v>
      </c>
      <c r="F62" s="103" t="e">
        <f>VLOOKUP(D62,'Beneficiary Agency Database'!A:H,8,FALSE)</f>
        <v>#N/A</v>
      </c>
      <c r="G62" s="82"/>
    </row>
    <row r="63" spans="1:10" x14ac:dyDescent="0.2">
      <c r="A63" s="73" t="s">
        <v>14</v>
      </c>
      <c r="B63" s="73">
        <f>SUMIF('Product Out'!E:E,'VIEW ONLY Dashboard'!A63,'Product Out'!H:H)</f>
        <v>0.75</v>
      </c>
      <c r="C63" s="75">
        <f t="shared" ref="C63:C82" si="1">B63/SUM($B$62:$B$82)</f>
        <v>9.717593768301468E-5</v>
      </c>
      <c r="D63" s="101" t="s">
        <v>587</v>
      </c>
      <c r="E63" s="147">
        <f>SUMIF('Product Out'!C:C,D63,'Product Out'!H:H)</f>
        <v>33.799999999999997</v>
      </c>
      <c r="F63" s="103">
        <f>VLOOKUP(D63,'Beneficiary Agency Database'!A:H,8,FALSE)</f>
        <v>100</v>
      </c>
      <c r="G63" s="82"/>
    </row>
    <row r="64" spans="1:10" x14ac:dyDescent="0.2">
      <c r="A64" s="73" t="s">
        <v>11</v>
      </c>
      <c r="B64" s="73">
        <f>SUMIF('Product Out'!E:E,'VIEW ONLY Dashboard'!A64,'Product Out'!H:H)</f>
        <v>0</v>
      </c>
      <c r="C64" s="75">
        <f t="shared" si="1"/>
        <v>0</v>
      </c>
      <c r="D64" s="17" t="s">
        <v>205</v>
      </c>
      <c r="E64" s="79">
        <f>SUMIF('Product Out'!C:C,D64,'Product Out'!H:H)</f>
        <v>309.8</v>
      </c>
      <c r="F64" s="100">
        <f>VLOOKUP(D64,'Beneficiary Agency Database'!A:H,8,FALSE)</f>
        <v>400</v>
      </c>
      <c r="G64" s="82"/>
    </row>
    <row r="65" spans="1:7" x14ac:dyDescent="0.2">
      <c r="A65" s="73" t="s">
        <v>12</v>
      </c>
      <c r="B65" s="73">
        <f>SUMIF('Product Out'!E:E,'VIEW ONLY Dashboard'!A65,'Product Out'!H:H)</f>
        <v>0</v>
      </c>
      <c r="C65" s="75">
        <f t="shared" si="1"/>
        <v>0</v>
      </c>
      <c r="D65" s="17" t="s">
        <v>264</v>
      </c>
      <c r="E65" s="79">
        <f>SUMIF('Product Out'!C:C,D65,'Product Out'!H:H)</f>
        <v>240</v>
      </c>
      <c r="F65" s="100">
        <f>VLOOKUP(D65,'Beneficiary Agency Database'!A:H,8,FALSE)</f>
        <v>1000</v>
      </c>
      <c r="G65" s="82"/>
    </row>
    <row r="66" spans="1:7" x14ac:dyDescent="0.2">
      <c r="A66" s="73" t="s">
        <v>13</v>
      </c>
      <c r="B66" s="73">
        <f>SUMIF('Product Out'!E:E,'VIEW ONLY Dashboard'!A66,'Product Out'!H:H)</f>
        <v>6683.75</v>
      </c>
      <c r="C66" s="75">
        <f t="shared" si="1"/>
        <v>0.86599956465179917</v>
      </c>
      <c r="D66" s="101" t="s">
        <v>518</v>
      </c>
      <c r="E66" s="79">
        <f>SUMIF('Product Out'!C:C,D66,'Product Out'!H:H)</f>
        <v>0</v>
      </c>
      <c r="F66" s="103" t="e">
        <f>VLOOKUP(D66,'Beneficiary Agency Database'!A:H,8,FALSE)</f>
        <v>#N/A</v>
      </c>
      <c r="G66" s="82"/>
    </row>
    <row r="67" spans="1:7" x14ac:dyDescent="0.2">
      <c r="A67" s="73" t="s">
        <v>16</v>
      </c>
      <c r="B67" s="73">
        <f>SUMIF('Product Out'!E:E,'VIEW ONLY Dashboard'!A67,'Product Out'!H:H)</f>
        <v>675.45</v>
      </c>
      <c r="C67" s="75">
        <f t="shared" si="1"/>
        <v>8.751664947732303E-2</v>
      </c>
      <c r="D67" s="101" t="s">
        <v>516</v>
      </c>
      <c r="E67" s="79">
        <f>SUMIF('Product Out'!C:C,D67,'Product Out'!H:H)</f>
        <v>0</v>
      </c>
      <c r="F67" s="103" t="e">
        <f>VLOOKUP(D67,'Beneficiary Agency Database'!A:H,8,FALSE)</f>
        <v>#N/A</v>
      </c>
      <c r="G67" s="82"/>
    </row>
    <row r="68" spans="1:7" x14ac:dyDescent="0.2">
      <c r="A68" s="73" t="s">
        <v>25</v>
      </c>
      <c r="B68" s="73">
        <f>SUMIF('Product Out'!E:E,'VIEW ONLY Dashboard'!A68,'Product Out'!H:H)</f>
        <v>0</v>
      </c>
      <c r="C68" s="75">
        <f t="shared" si="1"/>
        <v>0</v>
      </c>
      <c r="D68" s="101" t="s">
        <v>521</v>
      </c>
      <c r="E68" s="79">
        <f>SUMIF('Product Out'!C:C,D68,'Product Out'!H:H)</f>
        <v>0</v>
      </c>
      <c r="F68" s="103" t="e">
        <f>VLOOKUP(D68,'Beneficiary Agency Database'!A:H,8,FALSE)</f>
        <v>#N/A</v>
      </c>
      <c r="G68" s="82"/>
    </row>
    <row r="69" spans="1:7" x14ac:dyDescent="0.2">
      <c r="A69" s="73" t="s">
        <v>19</v>
      </c>
      <c r="B69" s="73">
        <f>SUMIF('Product Out'!E:E,'VIEW ONLY Dashboard'!A69,'Product Out'!H:H)</f>
        <v>0.2</v>
      </c>
      <c r="C69" s="75">
        <f t="shared" si="1"/>
        <v>2.5913583382137249E-5</v>
      </c>
      <c r="D69" s="101" t="s">
        <v>524</v>
      </c>
      <c r="E69" s="79">
        <f>SUMIF('Product Out'!C:C,D69,'Product Out'!H:H)</f>
        <v>0</v>
      </c>
      <c r="F69" s="103" t="e">
        <f>VLOOKUP(D69,'Beneficiary Agency Database'!A:H,8,FALSE)</f>
        <v>#N/A</v>
      </c>
      <c r="G69" s="82"/>
    </row>
    <row r="70" spans="1:7" x14ac:dyDescent="0.2">
      <c r="A70" s="73" t="s">
        <v>17</v>
      </c>
      <c r="B70" s="73">
        <f>SUMIF('Product Out'!E:E,'VIEW ONLY Dashboard'!A70,'Product Out'!H:H)</f>
        <v>14.950000000000001</v>
      </c>
      <c r="C70" s="75">
        <f t="shared" si="1"/>
        <v>1.9370403578147595E-3</v>
      </c>
      <c r="D70" s="101" t="s">
        <v>525</v>
      </c>
      <c r="E70" s="79">
        <f>SUMIF('Product Out'!C:C,D70,'Product Out'!H:H)</f>
        <v>0</v>
      </c>
      <c r="F70" s="103" t="e">
        <f>VLOOKUP(D70,'Beneficiary Agency Database'!A:H,8,FALSE)</f>
        <v>#N/A</v>
      </c>
      <c r="G70" s="82"/>
    </row>
    <row r="71" spans="1:7" x14ac:dyDescent="0.2">
      <c r="A71" s="73" t="s">
        <v>20</v>
      </c>
      <c r="B71" s="73">
        <f>SUMIF('Product Out'!E:E,'VIEW ONLY Dashboard'!A71,'Product Out'!H:H)</f>
        <v>105.46</v>
      </c>
      <c r="C71" s="75">
        <f t="shared" si="1"/>
        <v>1.3664232517400971E-2</v>
      </c>
      <c r="D71" s="101" t="s">
        <v>538</v>
      </c>
      <c r="E71" s="79">
        <f>SUMIF('Product Out'!C:C,D71,'Product Out'!H:H)</f>
        <v>0</v>
      </c>
      <c r="F71" s="103" t="e">
        <f>VLOOKUP(D71,'Beneficiary Agency Database'!A:H,8,FALSE)</f>
        <v>#N/A</v>
      </c>
      <c r="G71" s="82"/>
    </row>
    <row r="72" spans="1:7" x14ac:dyDescent="0.2">
      <c r="A72" s="73" t="s">
        <v>21</v>
      </c>
      <c r="B72" s="73">
        <f>SUMIF('Product Out'!E:E,'VIEW ONLY Dashboard'!A72,'Product Out'!H:H)</f>
        <v>62.550000000000004</v>
      </c>
      <c r="C72" s="75">
        <f t="shared" si="1"/>
        <v>8.104473202763425E-3</v>
      </c>
      <c r="D72" s="101" t="s">
        <v>520</v>
      </c>
      <c r="E72" s="79">
        <f>SUMIF('Product Out'!C:C,D72,'Product Out'!H:H)</f>
        <v>0</v>
      </c>
      <c r="F72" s="103" t="e">
        <f>VLOOKUP(D72,'Beneficiary Agency Database'!A:H,8,FALSE)</f>
        <v>#N/A</v>
      </c>
      <c r="G72" s="82"/>
    </row>
    <row r="73" spans="1:7" x14ac:dyDescent="0.2">
      <c r="A73" s="73" t="s">
        <v>18</v>
      </c>
      <c r="B73" s="73">
        <f>SUMIF('Product Out'!E:E,'VIEW ONLY Dashboard'!A73,'Product Out'!H:H)</f>
        <v>0</v>
      </c>
      <c r="C73" s="75">
        <f t="shared" si="1"/>
        <v>0</v>
      </c>
      <c r="D73" s="101" t="s">
        <v>535</v>
      </c>
      <c r="E73" s="79">
        <f>SUMIF('Product Out'!C:C,D73,'Product Out'!H:H)</f>
        <v>0</v>
      </c>
      <c r="F73" s="103" t="e">
        <f>VLOOKUP(D73,'Beneficiary Agency Database'!A:H,8,FALSE)</f>
        <v>#N/A</v>
      </c>
      <c r="G73" s="82"/>
    </row>
    <row r="74" spans="1:7" x14ac:dyDescent="0.2">
      <c r="A74" s="73" t="s">
        <v>26</v>
      </c>
      <c r="B74" s="73">
        <f>SUMIF('Product Out'!E:E,'VIEW ONLY Dashboard'!A74,'Product Out'!H:H)</f>
        <v>0</v>
      </c>
      <c r="C74" s="75">
        <f t="shared" si="1"/>
        <v>0</v>
      </c>
      <c r="D74" s="101" t="s">
        <v>537</v>
      </c>
      <c r="E74" s="79">
        <f>SUMIF('Product Out'!C:C,D74,'Product Out'!H:H)</f>
        <v>0</v>
      </c>
      <c r="F74" s="103" t="e">
        <f>VLOOKUP(D74,'Beneficiary Agency Database'!A:H,8,FALSE)</f>
        <v>#N/A</v>
      </c>
      <c r="G74" s="82"/>
    </row>
    <row r="75" spans="1:7" x14ac:dyDescent="0.2">
      <c r="A75" s="73" t="s">
        <v>22</v>
      </c>
      <c r="B75" s="73">
        <f>SUMIF('Product Out'!E:E,'VIEW ONLY Dashboard'!A75,'Product Out'!H:H)</f>
        <v>0</v>
      </c>
      <c r="C75" s="75">
        <f t="shared" si="1"/>
        <v>0</v>
      </c>
      <c r="D75" s="101" t="s">
        <v>514</v>
      </c>
      <c r="E75" s="79">
        <f>SUMIF('Product Out'!C:C,D75,'Product Out'!H:H)</f>
        <v>0</v>
      </c>
      <c r="F75" s="103" t="e">
        <f>VLOOKUP(D75,'Beneficiary Agency Database'!A:H,8,FALSE)</f>
        <v>#N/A</v>
      </c>
      <c r="G75" s="82"/>
    </row>
    <row r="76" spans="1:7" x14ac:dyDescent="0.2">
      <c r="A76" s="73" t="s">
        <v>23</v>
      </c>
      <c r="B76" s="73">
        <f>SUMIF('Product Out'!E:E,'VIEW ONLY Dashboard'!A76,'Product Out'!H:H)</f>
        <v>47.599999999999987</v>
      </c>
      <c r="C76" s="75">
        <f t="shared" si="1"/>
        <v>6.1674328449486636E-3</v>
      </c>
      <c r="D76" s="101" t="s">
        <v>528</v>
      </c>
      <c r="E76" s="79">
        <f>SUMIF('Product Out'!C:C,D76,'Product Out'!H:H)</f>
        <v>0</v>
      </c>
      <c r="F76" s="103" t="e">
        <f>VLOOKUP(D76,'Beneficiary Agency Database'!A:H,8,FALSE)</f>
        <v>#N/A</v>
      </c>
      <c r="G76" s="82"/>
    </row>
    <row r="77" spans="1:7" x14ac:dyDescent="0.2">
      <c r="A77" s="73" t="s">
        <v>24</v>
      </c>
      <c r="B77" s="73">
        <f>SUMIF('Product Out'!E:E,'VIEW ONLY Dashboard'!A77,'Product Out'!H:H)</f>
        <v>0</v>
      </c>
      <c r="C77" s="75">
        <f t="shared" si="1"/>
        <v>0</v>
      </c>
      <c r="D77" s="101" t="s">
        <v>519</v>
      </c>
      <c r="E77" s="79">
        <f>SUMIF('Product Out'!C:C,D77,'Product Out'!H:H)</f>
        <v>0</v>
      </c>
      <c r="F77" s="103" t="e">
        <f>VLOOKUP(D77,'Beneficiary Agency Database'!A:H,8,FALSE)</f>
        <v>#N/A</v>
      </c>
      <c r="G77" s="82"/>
    </row>
    <row r="78" spans="1:7" x14ac:dyDescent="0.2">
      <c r="A78" s="99" t="s">
        <v>146</v>
      </c>
      <c r="B78" s="73">
        <f>SUMIF('Product Out'!E:E,'VIEW ONLY Dashboard'!A78,'Product Out'!H:H)</f>
        <v>0</v>
      </c>
      <c r="C78" s="75">
        <f t="shared" si="1"/>
        <v>0</v>
      </c>
      <c r="D78" s="101" t="s">
        <v>530</v>
      </c>
      <c r="E78" s="79">
        <f>SUMIF('Product Out'!C:C,D78,'Product Out'!H:H)</f>
        <v>0</v>
      </c>
      <c r="F78" s="103" t="e">
        <f>VLOOKUP(D78,'Beneficiary Agency Database'!A:H,8,FALSE)</f>
        <v>#N/A</v>
      </c>
      <c r="G78" s="82"/>
    </row>
    <row r="79" spans="1:7" x14ac:dyDescent="0.2">
      <c r="A79" s="99" t="s">
        <v>147</v>
      </c>
      <c r="B79" s="73">
        <f>SUMIF('Product Out'!E:E,'VIEW ONLY Dashboard'!A79,'Product Out'!H:H)</f>
        <v>0</v>
      </c>
      <c r="C79" s="75">
        <f t="shared" si="1"/>
        <v>0</v>
      </c>
      <c r="D79" s="101" t="s">
        <v>567</v>
      </c>
      <c r="E79" s="79">
        <f>SUMIF('Product Out'!C:C,D79,'Product Out'!H:H)</f>
        <v>0</v>
      </c>
      <c r="F79" s="103" t="e">
        <f>VLOOKUP(D79,'Beneficiary Agency Database'!A:H,8,FALSE)</f>
        <v>#N/A</v>
      </c>
      <c r="G79" s="82"/>
    </row>
    <row r="80" spans="1:7" x14ac:dyDescent="0.2">
      <c r="A80" s="99" t="s">
        <v>148</v>
      </c>
      <c r="B80" s="73">
        <f>SUMIF('Product Out'!E:E,'VIEW ONLY Dashboard'!A80,'Product Out'!H:H)</f>
        <v>0</v>
      </c>
      <c r="C80" s="75">
        <f t="shared" si="1"/>
        <v>0</v>
      </c>
      <c r="D80" t="s">
        <v>331</v>
      </c>
      <c r="E80" s="79">
        <f>SUMIF('Product Out'!C:C,D80,'Product Out'!H:H)</f>
        <v>127.5</v>
      </c>
      <c r="F80" s="100" t="e">
        <f>VLOOKUP(D80,'Beneficiary Agency Database'!A:H,8,FALSE)</f>
        <v>#N/A</v>
      </c>
      <c r="G80" s="82"/>
    </row>
    <row r="81" spans="1:7" x14ac:dyDescent="0.2">
      <c r="A81" s="99" t="s">
        <v>149</v>
      </c>
      <c r="B81" s="73">
        <f>SUMIF('Product Out'!E:E,'VIEW ONLY Dashboard'!A81,'Product Out'!H:H)</f>
        <v>42.649999999999991</v>
      </c>
      <c r="C81" s="75">
        <f t="shared" si="1"/>
        <v>5.526071656240767E-3</v>
      </c>
      <c r="D81" s="101" t="s">
        <v>546</v>
      </c>
      <c r="E81" s="79">
        <f>SUMIF('Product Out'!C:C,D81,'Product Out'!H:H)</f>
        <v>0</v>
      </c>
      <c r="F81" s="103" t="e">
        <f>VLOOKUP(D81,'Beneficiary Agency Database'!A:H,8,FALSE)</f>
        <v>#N/A</v>
      </c>
      <c r="G81" s="82"/>
    </row>
    <row r="82" spans="1:7" x14ac:dyDescent="0.2">
      <c r="A82" s="99" t="s">
        <v>168</v>
      </c>
      <c r="B82" s="73">
        <f>SUMIF('Product Out'!E:E,'VIEW ONLY Dashboard'!A82,'Product Out'!H:H)</f>
        <v>47</v>
      </c>
      <c r="C82" s="75">
        <f t="shared" si="1"/>
        <v>6.0896920948022536E-3</v>
      </c>
      <c r="D82" s="101" t="s">
        <v>510</v>
      </c>
      <c r="E82" s="79">
        <f>SUMIF('Product Out'!C:C,D82,'Product Out'!H:H)</f>
        <v>0</v>
      </c>
      <c r="F82" s="103" t="e">
        <f>VLOOKUP(D82,'Beneficiary Agency Database'!A:H,8,FALSE)</f>
        <v>#N/A</v>
      </c>
      <c r="G82" s="82"/>
    </row>
    <row r="83" spans="1:7" x14ac:dyDescent="0.2">
      <c r="A83" s="84" t="s">
        <v>161</v>
      </c>
      <c r="B83" s="80">
        <f>SUM(B62:B77)</f>
        <v>7628.31</v>
      </c>
      <c r="C83" s="80"/>
      <c r="D83" s="101" t="s">
        <v>539</v>
      </c>
      <c r="E83" s="79">
        <f>SUMIF('Product Out'!C:C,D83,'Product Out'!H:H)</f>
        <v>0</v>
      </c>
      <c r="F83" s="103" t="e">
        <f>VLOOKUP(D83,'Beneficiary Agency Database'!A:H,8,FALSE)</f>
        <v>#N/A</v>
      </c>
      <c r="G83" s="82"/>
    </row>
    <row r="84" spans="1:7" x14ac:dyDescent="0.2">
      <c r="A84" s="84" t="s">
        <v>162</v>
      </c>
      <c r="B84" s="80">
        <f>SUM(B78:B82)</f>
        <v>89.649999999999991</v>
      </c>
      <c r="C84" s="80"/>
      <c r="D84" s="101" t="s">
        <v>499</v>
      </c>
      <c r="E84" s="79">
        <f>SUMIF('Product Out'!C:C,D84,'Product Out'!H:H)</f>
        <v>0</v>
      </c>
      <c r="F84" s="103" t="e">
        <f>VLOOKUP(D84,'Beneficiary Agency Database'!A:H,8,FALSE)</f>
        <v>#N/A</v>
      </c>
      <c r="G84" s="82"/>
    </row>
    <row r="85" spans="1:7" x14ac:dyDescent="0.2">
      <c r="B85" s="79"/>
      <c r="C85" s="79"/>
      <c r="D85" s="101" t="s">
        <v>527</v>
      </c>
      <c r="E85" s="79">
        <f>SUMIF('Product Out'!C:C,D85,'Product Out'!H:H)</f>
        <v>0</v>
      </c>
      <c r="F85" s="103" t="e">
        <f>VLOOKUP(D85,'Beneficiary Agency Database'!A:H,8,FALSE)</f>
        <v>#N/A</v>
      </c>
      <c r="G85" s="82"/>
    </row>
    <row r="86" spans="1:7" x14ac:dyDescent="0.2">
      <c r="B86" s="79"/>
      <c r="C86" s="79"/>
      <c r="D86" s="101" t="s">
        <v>523</v>
      </c>
      <c r="E86" s="79">
        <f>SUMIF('Product Out'!C:C,D86,'Product Out'!H:H)</f>
        <v>0</v>
      </c>
      <c r="F86" s="103" t="e">
        <f>VLOOKUP(D86,'Beneficiary Agency Database'!A:H,8,FALSE)</f>
        <v>#N/A</v>
      </c>
      <c r="G86" s="82"/>
    </row>
    <row r="87" spans="1:7" x14ac:dyDescent="0.2">
      <c r="D87" s="17" t="s">
        <v>232</v>
      </c>
      <c r="E87" s="79">
        <f>SUMIF('Product Out'!C:C,D87,'Product Out'!H:H)</f>
        <v>120</v>
      </c>
      <c r="F87" s="100">
        <f>VLOOKUP(D87,'Beneficiary Agency Database'!A:H,8,FALSE)</f>
        <v>100</v>
      </c>
      <c r="G87" s="82"/>
    </row>
    <row r="88" spans="1:7" x14ac:dyDescent="0.2">
      <c r="D88" s="17" t="s">
        <v>186</v>
      </c>
      <c r="E88" s="79">
        <f>SUMIF('Product Out'!C:C,D88,'Product Out'!H:H)</f>
        <v>162.19999999999999</v>
      </c>
      <c r="F88" s="100">
        <f>VLOOKUP(D88,'Beneficiary Agency Database'!A:H,8,FALSE)</f>
        <v>200</v>
      </c>
      <c r="G88" s="82"/>
    </row>
    <row r="89" spans="1:7" x14ac:dyDescent="0.2">
      <c r="D89" s="17" t="s">
        <v>202</v>
      </c>
      <c r="E89" s="79">
        <f>SUMIF('Product Out'!C:C,D89,'Product Out'!H:H)</f>
        <v>45</v>
      </c>
      <c r="F89" s="100">
        <f>VLOOKUP(D89,'Beneficiary Agency Database'!A:H,8,FALSE)</f>
        <v>100</v>
      </c>
      <c r="G89" s="82"/>
    </row>
    <row r="90" spans="1:7" x14ac:dyDescent="0.2">
      <c r="D90" s="101" t="s">
        <v>589</v>
      </c>
      <c r="E90" s="79">
        <f>SUMIF('Product Out'!C:C,D90,'Product Out'!H:H)</f>
        <v>0</v>
      </c>
      <c r="F90" s="103" t="e">
        <f>VLOOKUP(D90,'Beneficiary Agency Database'!A:H,8,FALSE)</f>
        <v>#N/A</v>
      </c>
      <c r="G90" s="82"/>
    </row>
    <row r="91" spans="1:7" x14ac:dyDescent="0.2">
      <c r="D91" s="101" t="s">
        <v>541</v>
      </c>
      <c r="E91" s="79">
        <f>SUMIF('Product Out'!C:C,D91,'Product Out'!H:H)</f>
        <v>0</v>
      </c>
      <c r="F91" s="103" t="e">
        <f>VLOOKUP(D91,'Beneficiary Agency Database'!A:H,8,FALSE)</f>
        <v>#N/A</v>
      </c>
      <c r="G91" s="82"/>
    </row>
    <row r="92" spans="1:7" x14ac:dyDescent="0.2">
      <c r="D92" s="17" t="s">
        <v>208</v>
      </c>
      <c r="E92" s="79">
        <f>SUMIF('Product Out'!C:C,D92,'Product Out'!H:H)</f>
        <v>314.30000000000013</v>
      </c>
      <c r="F92" s="100">
        <f>VLOOKUP(D92,'Beneficiary Agency Database'!A:H,8,FALSE)</f>
        <v>1200</v>
      </c>
      <c r="G92" s="82"/>
    </row>
    <row r="93" spans="1:7" x14ac:dyDescent="0.2">
      <c r="D93" s="17" t="s">
        <v>229</v>
      </c>
      <c r="E93" s="79">
        <f>SUMIF('Product Out'!C:C,D93,'Product Out'!H:H)</f>
        <v>2016.55</v>
      </c>
      <c r="F93" s="100">
        <f>VLOOKUP(D93,'Beneficiary Agency Database'!A:H,8,FALSE)</f>
        <v>4000</v>
      </c>
      <c r="G93" s="82"/>
    </row>
    <row r="94" spans="1:7" x14ac:dyDescent="0.2">
      <c r="D94" s="17" t="s">
        <v>275</v>
      </c>
      <c r="E94" s="79">
        <f>SUMIF('Product Out'!C:C,D94,'Product Out'!H:H)</f>
        <v>120</v>
      </c>
      <c r="F94" s="100">
        <f>VLOOKUP(D94,'Beneficiary Agency Database'!A:H,8,FALSE)</f>
        <v>200</v>
      </c>
      <c r="G94" s="82"/>
    </row>
    <row r="95" spans="1:7" x14ac:dyDescent="0.2">
      <c r="D95" s="17" t="s">
        <v>315</v>
      </c>
      <c r="E95" s="79">
        <f>SUMIF('Product Out'!C:C,D95,'Product Out'!H:H)</f>
        <v>19.899999999999999</v>
      </c>
      <c r="F95" s="100" t="e">
        <f>VLOOKUP(D95,'Beneficiary Agency Database'!A:H,8,FALSE)</f>
        <v>#N/A</v>
      </c>
      <c r="G95" s="82"/>
    </row>
    <row r="96" spans="1:7" x14ac:dyDescent="0.2">
      <c r="D96" s="101" t="s">
        <v>526</v>
      </c>
      <c r="E96" s="79">
        <f>SUMIF('Product Out'!C:C,D96,'Product Out'!H:H)</f>
        <v>0</v>
      </c>
      <c r="F96" s="103" t="e">
        <f>VLOOKUP(D96,'Beneficiary Agency Database'!A:H,8,FALSE)</f>
        <v>#N/A</v>
      </c>
      <c r="G96" s="82"/>
    </row>
    <row r="97" spans="4:7" x14ac:dyDescent="0.2">
      <c r="D97" s="17" t="s">
        <v>289</v>
      </c>
      <c r="E97" s="79">
        <f>SUMIF('Product Out'!C:C,D97,'Product Out'!H:H)</f>
        <v>120</v>
      </c>
      <c r="F97" s="100">
        <f>VLOOKUP(D97,'Beneficiary Agency Database'!A:H,8,FALSE)</f>
        <v>500</v>
      </c>
      <c r="G97" s="82"/>
    </row>
    <row r="98" spans="4:7" x14ac:dyDescent="0.2">
      <c r="D98" s="17" t="s">
        <v>246</v>
      </c>
      <c r="E98" s="79">
        <f>SUMIF('Product Out'!C:C,D98,'Product Out'!H:H)</f>
        <v>131.65</v>
      </c>
      <c r="F98" s="100">
        <f>VLOOKUP(D98,'Beneficiary Agency Database'!A:H,8,FALSE)</f>
        <v>250</v>
      </c>
      <c r="G98" s="82"/>
    </row>
    <row r="99" spans="4:7" x14ac:dyDescent="0.2">
      <c r="D99" s="17" t="s">
        <v>314</v>
      </c>
      <c r="E99" s="79">
        <f>SUMIF('Product Out'!C:C,D99,'Product Out'!H:H)</f>
        <v>120</v>
      </c>
      <c r="F99" s="100" t="e">
        <f>VLOOKUP(D99,'Beneficiary Agency Database'!A:H,8,FALSE)</f>
        <v>#N/A</v>
      </c>
      <c r="G99" s="82"/>
    </row>
    <row r="100" spans="4:7" x14ac:dyDescent="0.2">
      <c r="D100" s="17" t="s">
        <v>294</v>
      </c>
      <c r="E100" s="79">
        <f>SUMIF('Product Out'!C:C,D100,'Product Out'!H:H)</f>
        <v>120</v>
      </c>
      <c r="F100" s="100">
        <f>VLOOKUP(D100,'Beneficiary Agency Database'!A:H,8,FALSE)</f>
        <v>500</v>
      </c>
      <c r="G100" s="82"/>
    </row>
    <row r="101" spans="4:7" x14ac:dyDescent="0.2">
      <c r="D101" s="17" t="s">
        <v>253</v>
      </c>
      <c r="E101" s="79">
        <f>SUMIF('Product Out'!C:C,D101,'Product Out'!H:H)</f>
        <v>120</v>
      </c>
      <c r="F101" s="100">
        <f>VLOOKUP(D101,'Beneficiary Agency Database'!A:H,8,FALSE)</f>
        <v>500</v>
      </c>
      <c r="G101" s="82"/>
    </row>
    <row r="102" spans="4:7" x14ac:dyDescent="0.2">
      <c r="D102" s="101" t="s">
        <v>531</v>
      </c>
      <c r="E102" s="79">
        <f>SUMIF('Product Out'!C:C,D102,'Product Out'!H:H)</f>
        <v>0</v>
      </c>
      <c r="F102" s="103" t="e">
        <f>VLOOKUP(D102,'Beneficiary Agency Database'!A:H,8,FALSE)</f>
        <v>#N/A</v>
      </c>
      <c r="G102" s="82"/>
    </row>
    <row r="103" spans="4:7" x14ac:dyDescent="0.2">
      <c r="G103" s="82"/>
    </row>
    <row r="104" spans="4:7" x14ac:dyDescent="0.2">
      <c r="G104" s="82"/>
    </row>
    <row r="105" spans="4:7" x14ac:dyDescent="0.2">
      <c r="E105" s="79"/>
      <c r="F105" s="68"/>
      <c r="G105" s="82"/>
    </row>
    <row r="106" spans="4:7" x14ac:dyDescent="0.2">
      <c r="E106" s="79"/>
      <c r="F106" s="68"/>
      <c r="G106" s="82"/>
    </row>
    <row r="107" spans="4:7" x14ac:dyDescent="0.2">
      <c r="E107" s="79"/>
      <c r="F107" s="68"/>
      <c r="G107" s="82"/>
    </row>
    <row r="108" spans="4:7" x14ac:dyDescent="0.2">
      <c r="E108" s="79"/>
      <c r="F108" s="68"/>
      <c r="G108" s="82"/>
    </row>
    <row r="109" spans="4:7" x14ac:dyDescent="0.2">
      <c r="E109" s="79"/>
      <c r="F109" s="68"/>
      <c r="G109" s="82"/>
    </row>
    <row r="110" spans="4:7" x14ac:dyDescent="0.2">
      <c r="E110" s="79"/>
      <c r="F110" s="68"/>
      <c r="G110" s="82"/>
    </row>
    <row r="111" spans="4:7" x14ac:dyDescent="0.2">
      <c r="E111" s="79"/>
      <c r="F111" s="68"/>
      <c r="G111" s="82"/>
    </row>
    <row r="112" spans="4:7" x14ac:dyDescent="0.2">
      <c r="E112" s="79"/>
      <c r="F112" s="68"/>
      <c r="G112" s="82"/>
    </row>
    <row r="113" spans="5:7" x14ac:dyDescent="0.2">
      <c r="E113" s="79"/>
      <c r="F113" s="68"/>
      <c r="G113" s="82"/>
    </row>
    <row r="114" spans="5:7" x14ac:dyDescent="0.2">
      <c r="E114" s="79"/>
      <c r="F114" s="68"/>
      <c r="G114" s="82"/>
    </row>
    <row r="115" spans="5:7" x14ac:dyDescent="0.2">
      <c r="E115" s="79"/>
      <c r="F115" s="68"/>
      <c r="G115" s="82"/>
    </row>
    <row r="116" spans="5:7" x14ac:dyDescent="0.2">
      <c r="E116" s="79"/>
      <c r="F116" s="68"/>
      <c r="G116" s="82"/>
    </row>
    <row r="117" spans="5:7" x14ac:dyDescent="0.2">
      <c r="E117" s="79"/>
      <c r="F117" s="68"/>
      <c r="G117" s="82"/>
    </row>
    <row r="118" spans="5:7" x14ac:dyDescent="0.2">
      <c r="E118" s="79"/>
      <c r="F118" s="68"/>
      <c r="G118" s="82"/>
    </row>
    <row r="119" spans="5:7" x14ac:dyDescent="0.2">
      <c r="E119" s="79"/>
      <c r="F119" s="68"/>
      <c r="G119" s="82"/>
    </row>
    <row r="120" spans="5:7" x14ac:dyDescent="0.2">
      <c r="E120" s="79"/>
      <c r="F120" s="68"/>
      <c r="G120" s="82"/>
    </row>
    <row r="121" spans="5:7" x14ac:dyDescent="0.2">
      <c r="E121" s="79"/>
      <c r="F121" s="68"/>
      <c r="G121" s="82"/>
    </row>
    <row r="122" spans="5:7" x14ac:dyDescent="0.2">
      <c r="E122" s="79"/>
      <c r="F122" s="68"/>
      <c r="G122" s="82"/>
    </row>
    <row r="123" spans="5:7" x14ac:dyDescent="0.2">
      <c r="E123" s="79"/>
      <c r="F123" s="68"/>
      <c r="G123" s="82"/>
    </row>
    <row r="124" spans="5:7" x14ac:dyDescent="0.2">
      <c r="E124" s="79"/>
      <c r="F124" s="68"/>
      <c r="G124" s="82"/>
    </row>
    <row r="125" spans="5:7" x14ac:dyDescent="0.2">
      <c r="E125" s="79"/>
      <c r="F125" s="68"/>
      <c r="G125" s="82"/>
    </row>
    <row r="126" spans="5:7" x14ac:dyDescent="0.2">
      <c r="E126" s="79"/>
      <c r="F126" s="68"/>
      <c r="G126" s="82"/>
    </row>
    <row r="127" spans="5:7" x14ac:dyDescent="0.2">
      <c r="E127" s="79"/>
      <c r="F127" s="68"/>
      <c r="G127" s="82"/>
    </row>
    <row r="128" spans="5:7" x14ac:dyDescent="0.2">
      <c r="E128" s="79"/>
      <c r="F128" s="68"/>
      <c r="G128" s="82"/>
    </row>
    <row r="129" spans="5:7" x14ac:dyDescent="0.2">
      <c r="E129" s="79"/>
      <c r="F129" s="68"/>
      <c r="G129" s="82"/>
    </row>
    <row r="130" spans="5:7" x14ac:dyDescent="0.2">
      <c r="E130" s="79"/>
      <c r="F130" s="68"/>
      <c r="G130" s="82"/>
    </row>
    <row r="131" spans="5:7" x14ac:dyDescent="0.2">
      <c r="E131" s="79"/>
      <c r="F131" s="68"/>
      <c r="G131" s="82"/>
    </row>
    <row r="132" spans="5:7" x14ac:dyDescent="0.2">
      <c r="E132" s="79"/>
      <c r="F132" s="68"/>
      <c r="G132" s="82"/>
    </row>
    <row r="133" spans="5:7" x14ac:dyDescent="0.2">
      <c r="E133" s="79"/>
      <c r="F133" s="68"/>
      <c r="G133" s="82"/>
    </row>
    <row r="134" spans="5:7" x14ac:dyDescent="0.2">
      <c r="E134" s="79"/>
      <c r="F134" s="68"/>
    </row>
    <row r="135" spans="5:7" x14ac:dyDescent="0.2">
      <c r="E135" s="79"/>
      <c r="F135" s="68"/>
    </row>
    <row r="136" spans="5:7" x14ac:dyDescent="0.2">
      <c r="E136" s="79"/>
      <c r="F136" s="68"/>
    </row>
    <row r="137" spans="5:7" x14ac:dyDescent="0.2">
      <c r="E137" s="79"/>
      <c r="F137" s="68"/>
    </row>
    <row r="138" spans="5:7" x14ac:dyDescent="0.2">
      <c r="E138" s="79"/>
      <c r="F138" s="68"/>
    </row>
    <row r="139" spans="5:7" x14ac:dyDescent="0.2">
      <c r="E139" s="79"/>
      <c r="F139" s="68"/>
    </row>
    <row r="140" spans="5:7" x14ac:dyDescent="0.2">
      <c r="E140" s="79"/>
      <c r="F140" s="68"/>
    </row>
    <row r="141" spans="5:7" x14ac:dyDescent="0.2">
      <c r="E141" s="79"/>
      <c r="F141" s="68"/>
    </row>
    <row r="142" spans="5:7" x14ac:dyDescent="0.2">
      <c r="E142" s="79"/>
      <c r="F142" s="68"/>
    </row>
    <row r="143" spans="5:7" x14ac:dyDescent="0.2">
      <c r="E143" s="79"/>
      <c r="F143" s="68"/>
    </row>
    <row r="144" spans="5:7" x14ac:dyDescent="0.2">
      <c r="E144" s="79"/>
      <c r="F144" s="68"/>
    </row>
    <row r="145" spans="4:6" x14ac:dyDescent="0.2">
      <c r="E145" s="79"/>
      <c r="F145" s="68"/>
    </row>
    <row r="146" spans="4:6" x14ac:dyDescent="0.2">
      <c r="D146" s="85"/>
      <c r="E146" s="79"/>
    </row>
    <row r="147" spans="4:6" x14ac:dyDescent="0.2">
      <c r="D147" s="85"/>
      <c r="E147" s="79"/>
    </row>
    <row r="148" spans="4:6" x14ac:dyDescent="0.2">
      <c r="E148" s="79"/>
    </row>
    <row r="149" spans="4:6" x14ac:dyDescent="0.2">
      <c r="E149" s="79"/>
    </row>
    <row r="150" spans="4:6" x14ac:dyDescent="0.2">
      <c r="E150" s="79"/>
    </row>
    <row r="151" spans="4:6" x14ac:dyDescent="0.2">
      <c r="E151" s="79"/>
    </row>
    <row r="152" spans="4:6" x14ac:dyDescent="0.2">
      <c r="E152" s="79"/>
    </row>
    <row r="153" spans="4:6" x14ac:dyDescent="0.2">
      <c r="E153" s="79"/>
    </row>
    <row r="154" spans="4:6" x14ac:dyDescent="0.2">
      <c r="E154" s="79"/>
    </row>
    <row r="155" spans="4:6" x14ac:dyDescent="0.2">
      <c r="E155" s="79"/>
    </row>
  </sheetData>
  <phoneticPr fontId="4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11230CB7-58C0-469B-9C99-50E1D0F37404}">
          <x14:formula1>
            <xm:f>'Beneficiary Agency Database'!$A$5:$A$490</xm:f>
          </x14:formula1>
          <xm:sqref>D62:D102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10" zoomScaleNormal="100" workbookViewId="0">
      <selection activeCell="B5" sqref="B5"/>
    </sheetView>
  </sheetViews>
  <sheetFormatPr baseColWidth="10" defaultColWidth="8.6640625" defaultRowHeight="15" x14ac:dyDescent="0.2"/>
  <cols>
    <col min="1" max="1" width="40.5" style="17" customWidth="1"/>
    <col min="2" max="2" width="15.5" style="25" customWidth="1"/>
    <col min="3" max="16384" width="8.6640625" style="17"/>
  </cols>
  <sheetData>
    <row r="1" spans="1:4" s="15" customFormat="1" ht="16" x14ac:dyDescent="0.2">
      <c r="A1" s="18" t="s">
        <v>0</v>
      </c>
      <c r="B1" s="24" t="s">
        <v>40</v>
      </c>
      <c r="C1" s="16"/>
      <c r="D1" s="20" t="s">
        <v>87</v>
      </c>
    </row>
    <row r="2" spans="1:4" s="15" customFormat="1" x14ac:dyDescent="0.2">
      <c r="A2" s="18" t="s">
        <v>1</v>
      </c>
      <c r="B2" s="24">
        <v>2024</v>
      </c>
      <c r="C2" s="16"/>
    </row>
    <row r="3" spans="1:4" s="15" customFormat="1" ht="16" thickBot="1" x14ac:dyDescent="0.25">
      <c r="A3" s="14"/>
      <c r="B3" s="24"/>
      <c r="C3" s="16"/>
    </row>
    <row r="4" spans="1:4" s="28" customFormat="1" ht="33" thickBot="1" x14ac:dyDescent="0.25">
      <c r="A4" s="26" t="s">
        <v>86</v>
      </c>
      <c r="B4" s="27" t="s">
        <v>91</v>
      </c>
    </row>
    <row r="5" spans="1:4" x14ac:dyDescent="0.2">
      <c r="A5" s="46" t="s">
        <v>15</v>
      </c>
      <c r="B5" s="56">
        <f>SUMIF('Product In'!E:E,'VIEW ONLY Realtime Inventory'!A5,'Product In'!I:I)-SUMIF('Product Out'!D:D,'VIEW ONLY Realtime Inventory'!A5,'Product Out'!H:H)</f>
        <v>20.900000000000002</v>
      </c>
    </row>
    <row r="6" spans="1:4" x14ac:dyDescent="0.2">
      <c r="A6" s="19" t="s">
        <v>23</v>
      </c>
      <c r="B6" s="57">
        <f>SUMIF('Product In'!E:E,'VIEW ONLY Realtime Inventory'!A6,'Product In'!I:I)-SUMIF('Product Out'!D:D,'VIEW ONLY Realtime Inventory'!A6,'Product Out'!H:H)</f>
        <v>3.15</v>
      </c>
    </row>
    <row r="7" spans="1:4" x14ac:dyDescent="0.2">
      <c r="A7" s="19" t="s">
        <v>24</v>
      </c>
      <c r="B7" s="57">
        <f>SUMIF('Product In'!E:E,'VIEW ONLY Realtime Inventory'!A7,'Product In'!I:I)-SUMIF('Product Out'!D:D,'VIEW ONLY Realtime Inventory'!A7,'Product Out'!H:H)</f>
        <v>5.95</v>
      </c>
    </row>
    <row r="8" spans="1:4" x14ac:dyDescent="0.2">
      <c r="A8" s="19" t="s">
        <v>22</v>
      </c>
      <c r="B8" s="57">
        <f>SUMIF('Product In'!E:E,'VIEW ONLY Realtime Inventory'!A8,'Product In'!I:I)-SUMIF('Product Out'!D:D,'VIEW ONLY Realtime Inventory'!A8,'Product Out'!H:H)</f>
        <v>0</v>
      </c>
    </row>
    <row r="9" spans="1:4" x14ac:dyDescent="0.2">
      <c r="A9" s="19" t="s">
        <v>14</v>
      </c>
      <c r="B9" s="57">
        <f>SUMIF('Product In'!E:E,'VIEW ONLY Realtime Inventory'!A9,'Product In'!I:I)-SUMIF('Product Out'!D:D,'VIEW ONLY Realtime Inventory'!A9,'Product Out'!H:H)</f>
        <v>7.3</v>
      </c>
    </row>
    <row r="10" spans="1:4" x14ac:dyDescent="0.2">
      <c r="A10" s="19" t="s">
        <v>11</v>
      </c>
      <c r="B10" s="57">
        <f>SUMIF('Product In'!E:E,'VIEW ONLY Realtime Inventory'!A10,'Product In'!I:I)-SUMIF('Product Out'!D:D,'VIEW ONLY Realtime Inventory'!A10,'Product Out'!H:H)</f>
        <v>0</v>
      </c>
    </row>
    <row r="11" spans="1:4" x14ac:dyDescent="0.2">
      <c r="A11" s="19" t="s">
        <v>12</v>
      </c>
      <c r="B11" s="57">
        <f>SUMIF('Product In'!E:E,'VIEW ONLY Realtime Inventory'!A11,'Product In'!I:I)-SUMIF('Product Out'!D:D,'VIEW ONLY Realtime Inventory'!A11,'Product Out'!H:H)</f>
        <v>0</v>
      </c>
    </row>
    <row r="12" spans="1:4" x14ac:dyDescent="0.2">
      <c r="A12" s="19" t="s">
        <v>13</v>
      </c>
      <c r="B12" s="57">
        <f>SUMIF('Product In'!E:E,'VIEW ONLY Realtime Inventory'!A12,'Product In'!I:I)-SUMIF('Product Out'!D:D,'VIEW ONLY Realtime Inventory'!A12,'Product Out'!H:H)</f>
        <v>6807.3</v>
      </c>
    </row>
    <row r="13" spans="1:4" x14ac:dyDescent="0.2">
      <c r="A13" s="19" t="s">
        <v>16</v>
      </c>
      <c r="B13" s="57">
        <f>SUMIF('Product In'!E:E,'VIEW ONLY Realtime Inventory'!A13,'Product In'!I:I)-SUMIF('Product Out'!D:D,'VIEW ONLY Realtime Inventory'!A13,'Product Out'!H:H)</f>
        <v>628.99999999999989</v>
      </c>
    </row>
    <row r="14" spans="1:4" x14ac:dyDescent="0.2">
      <c r="A14" s="19" t="s">
        <v>148</v>
      </c>
      <c r="B14" s="57">
        <f>SUMIF('Product In'!E:E,'VIEW ONLY Realtime Inventory'!A14,'Product In'!I:I)-SUMIF('Product Out'!D:D,'VIEW ONLY Realtime Inventory'!A14,'Product Out'!H:H)</f>
        <v>0</v>
      </c>
    </row>
    <row r="15" spans="1:4" x14ac:dyDescent="0.2">
      <c r="A15" s="19" t="s">
        <v>147</v>
      </c>
      <c r="B15" s="57">
        <f>SUMIF('Product In'!E:E,'VIEW ONLY Realtime Inventory'!A15,'Product In'!I:I)-SUMIF('Product Out'!D:D,'VIEW ONLY Realtime Inventory'!A15,'Product Out'!H:H)</f>
        <v>0</v>
      </c>
    </row>
    <row r="16" spans="1:4" x14ac:dyDescent="0.2">
      <c r="A16" s="19" t="s">
        <v>149</v>
      </c>
      <c r="B16" s="57">
        <f>SUMIF('Product In'!E:E,'VIEW ONLY Realtime Inventory'!A16,'Product In'!I:I)-SUMIF('Product Out'!D:D,'VIEW ONLY Realtime Inventory'!A16,'Product Out'!H:H)</f>
        <v>133.35</v>
      </c>
    </row>
    <row r="17" spans="1:2" x14ac:dyDescent="0.2">
      <c r="A17" s="19" t="s">
        <v>146</v>
      </c>
      <c r="B17" s="57">
        <f>SUMIF('Product In'!E:E,'VIEW ONLY Realtime Inventory'!A17,'Product In'!I:I)-SUMIF('Product Out'!D:D,'VIEW ONLY Realtime Inventory'!A17,'Product Out'!H:H)</f>
        <v>2.7</v>
      </c>
    </row>
    <row r="18" spans="1:2" x14ac:dyDescent="0.2">
      <c r="A18" s="19" t="s">
        <v>25</v>
      </c>
      <c r="B18" s="57">
        <f>SUMIF('Product In'!E:E,'VIEW ONLY Realtime Inventory'!A18,'Product In'!I:I)-SUMIF('Product Out'!D:D,'VIEW ONLY Realtime Inventory'!A18,'Product Out'!H:H)</f>
        <v>2.5</v>
      </c>
    </row>
    <row r="19" spans="1:2" x14ac:dyDescent="0.2">
      <c r="A19" s="19" t="s">
        <v>17</v>
      </c>
      <c r="B19" s="57">
        <f>SUMIF('Product In'!E:E,'VIEW ONLY Realtime Inventory'!A19,'Product In'!I:I)-SUMIF('Product Out'!D:D,'VIEW ONLY Realtime Inventory'!A19,'Product Out'!H:H)</f>
        <v>16</v>
      </c>
    </row>
    <row r="20" spans="1:2" x14ac:dyDescent="0.2">
      <c r="A20" s="19" t="s">
        <v>19</v>
      </c>
      <c r="B20" s="57">
        <f>SUMIF('Product In'!E:E,'VIEW ONLY Realtime Inventory'!A20,'Product In'!I:I)-SUMIF('Product Out'!D:D,'VIEW ONLY Realtime Inventory'!A20,'Product Out'!H:H)</f>
        <v>3.9999999999999996</v>
      </c>
    </row>
    <row r="21" spans="1:2" x14ac:dyDescent="0.2">
      <c r="A21" s="47" t="s">
        <v>20</v>
      </c>
      <c r="B21" s="57">
        <f>SUMIF('Product In'!E:E,'VIEW ONLY Realtime Inventory'!A21,'Product In'!I:I)-SUMIF('Product Out'!D:D,'VIEW ONLY Realtime Inventory'!A21,'Product Out'!H:H)</f>
        <v>56.849999999999994</v>
      </c>
    </row>
    <row r="22" spans="1:2" x14ac:dyDescent="0.2">
      <c r="A22" s="47" t="s">
        <v>21</v>
      </c>
      <c r="B22" s="57">
        <f>SUMIF('Product In'!E:E,'VIEW ONLY Realtime Inventory'!A22,'Product In'!I:I)-SUMIF('Product Out'!D:D,'VIEW ONLY Realtime Inventory'!A22,'Product Out'!H:H)</f>
        <v>1.2</v>
      </c>
    </row>
    <row r="23" spans="1:2" x14ac:dyDescent="0.2">
      <c r="A23" s="47" t="s">
        <v>18</v>
      </c>
      <c r="B23" s="57">
        <f>SUMIF('Product In'!E:E,'VIEW ONLY Realtime Inventory'!A23,'Product In'!I:I)-SUMIF('Product Out'!D:D,'VIEW ONLY Realtime Inventory'!A23,'Product Out'!H:H)</f>
        <v>0</v>
      </c>
    </row>
    <row r="24" spans="1:2" ht="16" thickBot="1" x14ac:dyDescent="0.25">
      <c r="A24" s="48" t="s">
        <v>26</v>
      </c>
      <c r="B24" s="58">
        <f>SUMIF('Product In'!E:E,'VIEW ONLY Realtime Inventory'!A24,'Product In'!I:I)-SUMIF('Product Out'!D:D,'VIEW ONLY Realtime Inventory'!A24,'Product Out'!H:H)</f>
        <v>0</v>
      </c>
    </row>
    <row r="25" spans="1:2" ht="16" thickBot="1" x14ac:dyDescent="0.25">
      <c r="B25" s="59"/>
    </row>
    <row r="26" spans="1:2" ht="16" thickBot="1" x14ac:dyDescent="0.25">
      <c r="A26" s="29" t="s">
        <v>92</v>
      </c>
      <c r="B26" s="60">
        <f>SUM(B5:B23)</f>
        <v>7690.2000000000007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4447"/>
  </sheetPr>
  <dimension ref="A1:AI86"/>
  <sheetViews>
    <sheetView zoomScaleNormal="100" workbookViewId="0">
      <selection activeCell="A6" sqref="A6"/>
    </sheetView>
  </sheetViews>
  <sheetFormatPr baseColWidth="10" defaultColWidth="8.83203125" defaultRowHeight="15" x14ac:dyDescent="0.2"/>
  <cols>
    <col min="1" max="1" width="30.5" customWidth="1"/>
    <col min="2" max="2" width="30.5" style="151" customWidth="1"/>
    <col min="3" max="3" width="37.1640625" customWidth="1"/>
    <col min="4" max="4" width="30.5" style="3" customWidth="1"/>
    <col min="5" max="6" width="30.5" customWidth="1"/>
    <col min="7" max="7" width="15.5" style="22" customWidth="1"/>
    <col min="8" max="8" width="15.5" style="6" customWidth="1"/>
    <col min="9" max="14" width="8.6640625" style="6"/>
  </cols>
  <sheetData>
    <row r="1" spans="1:14" x14ac:dyDescent="0.2">
      <c r="A1" s="18" t="s">
        <v>0</v>
      </c>
      <c r="B1" s="2" t="s">
        <v>40</v>
      </c>
      <c r="C1" s="2"/>
      <c r="D1" s="53" t="s">
        <v>85</v>
      </c>
      <c r="E1" s="1" t="s">
        <v>303</v>
      </c>
    </row>
    <row r="2" spans="1:14" x14ac:dyDescent="0.2">
      <c r="A2" s="18" t="s">
        <v>1</v>
      </c>
      <c r="B2" s="2">
        <v>2024</v>
      </c>
      <c r="C2" s="2"/>
      <c r="D2" s="53" t="s">
        <v>89</v>
      </c>
      <c r="E2" s="12">
        <v>45627</v>
      </c>
    </row>
    <row r="4" spans="1:14" ht="48" x14ac:dyDescent="0.2">
      <c r="A4" s="7" t="s">
        <v>83</v>
      </c>
      <c r="B4" s="150" t="s">
        <v>84</v>
      </c>
      <c r="C4" s="7" t="s">
        <v>52</v>
      </c>
      <c r="D4" s="10" t="s">
        <v>50</v>
      </c>
      <c r="E4" s="7" t="s">
        <v>53</v>
      </c>
      <c r="F4" s="7" t="s">
        <v>51</v>
      </c>
      <c r="G4" s="23" t="s">
        <v>54</v>
      </c>
      <c r="H4" s="8" t="s">
        <v>61</v>
      </c>
      <c r="I4" s="54" t="s">
        <v>55</v>
      </c>
      <c r="J4" s="8" t="s">
        <v>56</v>
      </c>
      <c r="K4" s="8" t="s">
        <v>60</v>
      </c>
      <c r="L4" s="54" t="s">
        <v>57</v>
      </c>
      <c r="M4" s="8" t="s">
        <v>58</v>
      </c>
      <c r="N4" s="8" t="s">
        <v>59</v>
      </c>
    </row>
    <row r="5" spans="1:14" ht="16" x14ac:dyDescent="0.2">
      <c r="A5" s="52" t="s">
        <v>587</v>
      </c>
      <c r="B5" s="151" t="s">
        <v>49</v>
      </c>
      <c r="D5"/>
      <c r="G5"/>
      <c r="H5" s="6">
        <v>100</v>
      </c>
    </row>
    <row r="6" spans="1:14" ht="16" x14ac:dyDescent="0.2">
      <c r="A6" s="52" t="s">
        <v>640</v>
      </c>
      <c r="B6" s="151" t="s">
        <v>49</v>
      </c>
      <c r="C6" s="52"/>
      <c r="D6" s="52"/>
      <c r="E6" s="52"/>
      <c r="F6" s="52"/>
      <c r="G6" s="52"/>
      <c r="H6" s="6">
        <v>100</v>
      </c>
    </row>
    <row r="7" spans="1:14" ht="16" x14ac:dyDescent="0.2">
      <c r="A7" s="52" t="s">
        <v>616</v>
      </c>
      <c r="B7" s="151" t="s">
        <v>49</v>
      </c>
      <c r="D7"/>
      <c r="G7"/>
      <c r="H7" s="6">
        <v>1100</v>
      </c>
    </row>
    <row r="8" spans="1:14" x14ac:dyDescent="0.2">
      <c r="A8" t="s">
        <v>183</v>
      </c>
      <c r="B8" s="151" t="s">
        <v>49</v>
      </c>
      <c r="D8" t="s">
        <v>184</v>
      </c>
      <c r="E8" t="s">
        <v>185</v>
      </c>
      <c r="H8" s="6">
        <v>200</v>
      </c>
    </row>
    <row r="9" spans="1:14" ht="16" x14ac:dyDescent="0.2">
      <c r="A9" s="52" t="s">
        <v>615</v>
      </c>
      <c r="B9" s="151" t="s">
        <v>49</v>
      </c>
      <c r="D9"/>
      <c r="G9"/>
      <c r="H9" s="6">
        <v>1100</v>
      </c>
    </row>
    <row r="10" spans="1:14" ht="16" x14ac:dyDescent="0.2">
      <c r="A10" s="52" t="s">
        <v>617</v>
      </c>
      <c r="B10" s="151" t="s">
        <v>49</v>
      </c>
      <c r="D10"/>
      <c r="G10"/>
      <c r="H10" s="6">
        <v>1000</v>
      </c>
    </row>
    <row r="11" spans="1:14" ht="16" x14ac:dyDescent="0.2">
      <c r="A11" s="52" t="s">
        <v>618</v>
      </c>
      <c r="B11" s="151" t="s">
        <v>49</v>
      </c>
      <c r="D11"/>
      <c r="G11"/>
      <c r="H11" s="6">
        <v>600</v>
      </c>
    </row>
    <row r="12" spans="1:14" x14ac:dyDescent="0.2">
      <c r="A12" t="s">
        <v>638</v>
      </c>
      <c r="B12" s="151" t="s">
        <v>49</v>
      </c>
      <c r="D12"/>
      <c r="G12"/>
      <c r="H12" s="6">
        <v>600</v>
      </c>
    </row>
    <row r="13" spans="1:14" ht="16" x14ac:dyDescent="0.2">
      <c r="A13" s="52" t="s">
        <v>619</v>
      </c>
      <c r="B13" s="151" t="s">
        <v>49</v>
      </c>
      <c r="D13"/>
      <c r="G13"/>
      <c r="H13" s="6">
        <v>1000</v>
      </c>
    </row>
    <row r="14" spans="1:14" ht="16" x14ac:dyDescent="0.2">
      <c r="A14" s="52" t="s">
        <v>620</v>
      </c>
      <c r="B14" s="151" t="s">
        <v>49</v>
      </c>
      <c r="D14"/>
      <c r="G14"/>
      <c r="H14" s="6">
        <v>600</v>
      </c>
    </row>
    <row r="15" spans="1:14" ht="16" x14ac:dyDescent="0.2">
      <c r="A15" s="52" t="s">
        <v>626</v>
      </c>
      <c r="B15" s="151" t="s">
        <v>49</v>
      </c>
      <c r="D15"/>
      <c r="G15"/>
      <c r="H15" s="6">
        <v>1300</v>
      </c>
    </row>
    <row r="16" spans="1:14" ht="16" x14ac:dyDescent="0.2">
      <c r="A16" s="52" t="s">
        <v>621</v>
      </c>
      <c r="B16" s="151" t="s">
        <v>49</v>
      </c>
      <c r="D16"/>
      <c r="G16"/>
      <c r="H16" s="6">
        <v>500</v>
      </c>
    </row>
    <row r="17" spans="1:8" ht="16" x14ac:dyDescent="0.2">
      <c r="A17" s="52" t="s">
        <v>622</v>
      </c>
      <c r="B17" s="151" t="s">
        <v>49</v>
      </c>
      <c r="D17"/>
      <c r="G17"/>
      <c r="H17" s="6">
        <v>500</v>
      </c>
    </row>
    <row r="18" spans="1:8" ht="16" x14ac:dyDescent="0.2">
      <c r="A18" s="52" t="s">
        <v>623</v>
      </c>
      <c r="B18" s="151" t="s">
        <v>49</v>
      </c>
      <c r="D18"/>
      <c r="G18"/>
      <c r="H18" s="6">
        <v>500</v>
      </c>
    </row>
    <row r="19" spans="1:8" ht="16" x14ac:dyDescent="0.2">
      <c r="A19" s="52" t="s">
        <v>624</v>
      </c>
      <c r="B19" s="151" t="s">
        <v>49</v>
      </c>
      <c r="D19"/>
      <c r="G19"/>
      <c r="H19" s="6">
        <v>500</v>
      </c>
    </row>
    <row r="20" spans="1:8" ht="16" x14ac:dyDescent="0.2">
      <c r="A20" s="52" t="s">
        <v>636</v>
      </c>
      <c r="B20" s="151" t="s">
        <v>48</v>
      </c>
      <c r="D20"/>
      <c r="G20"/>
      <c r="H20" s="6">
        <v>700</v>
      </c>
    </row>
    <row r="21" spans="1:8" x14ac:dyDescent="0.2">
      <c r="A21" t="s">
        <v>186</v>
      </c>
      <c r="B21" s="151" t="s">
        <v>49</v>
      </c>
      <c r="C21" t="s">
        <v>596</v>
      </c>
      <c r="E21" t="s">
        <v>187</v>
      </c>
      <c r="H21" s="6">
        <v>200</v>
      </c>
    </row>
    <row r="22" spans="1:8" ht="16" x14ac:dyDescent="0.2">
      <c r="A22" s="52" t="s">
        <v>625</v>
      </c>
      <c r="B22" s="151" t="s">
        <v>49</v>
      </c>
      <c r="D22"/>
      <c r="G22"/>
      <c r="H22" s="6">
        <v>600</v>
      </c>
    </row>
    <row r="23" spans="1:8" x14ac:dyDescent="0.2">
      <c r="A23" s="152" t="s">
        <v>604</v>
      </c>
      <c r="B23" s="151" t="s">
        <v>49</v>
      </c>
      <c r="D23"/>
      <c r="G23"/>
      <c r="H23" s="6">
        <v>100</v>
      </c>
    </row>
    <row r="24" spans="1:8" x14ac:dyDescent="0.2">
      <c r="A24" t="s">
        <v>188</v>
      </c>
      <c r="B24" s="151" t="s">
        <v>49</v>
      </c>
      <c r="D24" s="93" t="s">
        <v>189</v>
      </c>
      <c r="E24" t="s">
        <v>190</v>
      </c>
      <c r="H24" s="6">
        <v>200</v>
      </c>
    </row>
    <row r="25" spans="1:8" ht="16" x14ac:dyDescent="0.2">
      <c r="A25" s="153" t="s">
        <v>601</v>
      </c>
      <c r="B25" s="151" t="s">
        <v>49</v>
      </c>
      <c r="D25"/>
      <c r="G25"/>
      <c r="H25" s="6">
        <v>200</v>
      </c>
    </row>
    <row r="26" spans="1:8" ht="16" x14ac:dyDescent="0.2">
      <c r="A26" s="52" t="s">
        <v>631</v>
      </c>
      <c r="B26" s="151" t="s">
        <v>49</v>
      </c>
      <c r="D26"/>
      <c r="G26"/>
      <c r="H26" s="6">
        <v>400</v>
      </c>
    </row>
    <row r="27" spans="1:8" x14ac:dyDescent="0.2">
      <c r="A27" t="s">
        <v>191</v>
      </c>
      <c r="B27" s="151" t="s">
        <v>49</v>
      </c>
      <c r="D27" t="s">
        <v>192</v>
      </c>
      <c r="E27" t="s">
        <v>193</v>
      </c>
      <c r="H27" s="6">
        <v>200</v>
      </c>
    </row>
    <row r="28" spans="1:8" ht="16" x14ac:dyDescent="0.2">
      <c r="A28" s="52" t="s">
        <v>194</v>
      </c>
      <c r="B28" s="151" t="s">
        <v>49</v>
      </c>
      <c r="C28" t="s">
        <v>195</v>
      </c>
      <c r="D28" t="s">
        <v>196</v>
      </c>
      <c r="E28" t="s">
        <v>197</v>
      </c>
      <c r="H28" s="6">
        <v>200</v>
      </c>
    </row>
    <row r="29" spans="1:8" ht="16" x14ac:dyDescent="0.2">
      <c r="A29" s="52" t="s">
        <v>198</v>
      </c>
      <c r="B29" s="151" t="s">
        <v>49</v>
      </c>
      <c r="C29" t="s">
        <v>199</v>
      </c>
      <c r="D29" t="s">
        <v>200</v>
      </c>
      <c r="E29" t="s">
        <v>201</v>
      </c>
      <c r="H29" s="6">
        <v>200</v>
      </c>
    </row>
    <row r="30" spans="1:8" ht="16" x14ac:dyDescent="0.2">
      <c r="A30" s="153" t="s">
        <v>605</v>
      </c>
      <c r="B30" s="151" t="s">
        <v>49</v>
      </c>
      <c r="D30"/>
      <c r="G30"/>
      <c r="H30" s="6">
        <v>100</v>
      </c>
    </row>
    <row r="31" spans="1:8" ht="16" x14ac:dyDescent="0.2">
      <c r="A31" s="52" t="s">
        <v>202</v>
      </c>
      <c r="B31" s="151" t="s">
        <v>49</v>
      </c>
      <c r="C31" t="s">
        <v>595</v>
      </c>
      <c r="D31" t="s">
        <v>203</v>
      </c>
      <c r="E31" t="s">
        <v>204</v>
      </c>
      <c r="H31" s="6">
        <v>100</v>
      </c>
    </row>
    <row r="32" spans="1:8" ht="16" x14ac:dyDescent="0.2">
      <c r="A32" s="153" t="s">
        <v>603</v>
      </c>
      <c r="B32" s="151" t="s">
        <v>49</v>
      </c>
      <c r="D32"/>
      <c r="G32"/>
      <c r="H32" s="6">
        <v>100</v>
      </c>
    </row>
    <row r="33" spans="1:14" ht="16" x14ac:dyDescent="0.2">
      <c r="A33" s="52" t="s">
        <v>614</v>
      </c>
      <c r="B33" s="151" t="s">
        <v>49</v>
      </c>
      <c r="D33"/>
      <c r="G33"/>
      <c r="H33" s="6">
        <v>100</v>
      </c>
    </row>
    <row r="34" spans="1:14" x14ac:dyDescent="0.2">
      <c r="A34" t="s">
        <v>205</v>
      </c>
      <c r="B34" s="151" t="s">
        <v>46</v>
      </c>
      <c r="C34" t="s">
        <v>206</v>
      </c>
      <c r="D34" s="3">
        <v>9237398973</v>
      </c>
      <c r="E34" t="s">
        <v>207</v>
      </c>
      <c r="H34" s="6">
        <v>400</v>
      </c>
    </row>
    <row r="35" spans="1:14" x14ac:dyDescent="0.2">
      <c r="A35" s="154" t="s">
        <v>606</v>
      </c>
      <c r="B35" s="151" t="s">
        <v>49</v>
      </c>
      <c r="D35"/>
      <c r="G35"/>
      <c r="H35" s="6">
        <v>100</v>
      </c>
    </row>
    <row r="36" spans="1:14" ht="16" x14ac:dyDescent="0.2">
      <c r="A36" s="52" t="s">
        <v>627</v>
      </c>
      <c r="B36" s="151" t="s">
        <v>49</v>
      </c>
      <c r="D36"/>
      <c r="G36"/>
      <c r="H36" s="6">
        <v>500</v>
      </c>
    </row>
    <row r="37" spans="1:14" ht="16" x14ac:dyDescent="0.2">
      <c r="A37" s="52" t="s">
        <v>208</v>
      </c>
      <c r="B37" s="151" t="s">
        <v>49</v>
      </c>
      <c r="C37" t="s">
        <v>209</v>
      </c>
      <c r="D37" t="s">
        <v>210</v>
      </c>
      <c r="E37" t="s">
        <v>211</v>
      </c>
      <c r="H37" s="6">
        <v>1200</v>
      </c>
    </row>
    <row r="38" spans="1:14" x14ac:dyDescent="0.2">
      <c r="A38" t="s">
        <v>212</v>
      </c>
      <c r="B38" s="151" t="s">
        <v>47</v>
      </c>
      <c r="C38" t="s">
        <v>213</v>
      </c>
      <c r="D38" s="3" t="s">
        <v>214</v>
      </c>
      <c r="E38" t="s">
        <v>215</v>
      </c>
      <c r="H38" s="6">
        <v>250</v>
      </c>
    </row>
    <row r="39" spans="1:14" s="96" customFormat="1" x14ac:dyDescent="0.2">
      <c r="A39" t="s">
        <v>216</v>
      </c>
      <c r="B39" s="151" t="s">
        <v>47</v>
      </c>
      <c r="C39" t="s">
        <v>217</v>
      </c>
      <c r="D39" s="3" t="s">
        <v>218</v>
      </c>
      <c r="E39" t="s">
        <v>219</v>
      </c>
      <c r="F39"/>
      <c r="G39" s="22"/>
      <c r="H39" s="6">
        <v>300</v>
      </c>
      <c r="I39" s="6"/>
      <c r="J39" s="6"/>
      <c r="K39" s="6"/>
      <c r="L39" s="6"/>
      <c r="M39" s="6"/>
      <c r="N39" s="6"/>
    </row>
    <row r="40" spans="1:14" s="96" customFormat="1" ht="16" x14ac:dyDescent="0.2">
      <c r="A40" s="52" t="s">
        <v>220</v>
      </c>
      <c r="B40" s="151" t="s">
        <v>47</v>
      </c>
      <c r="C40" t="s">
        <v>221</v>
      </c>
      <c r="D40" t="s">
        <v>222</v>
      </c>
      <c r="E40" t="s">
        <v>223</v>
      </c>
      <c r="F40"/>
      <c r="G40" s="22"/>
      <c r="H40" s="6">
        <v>100</v>
      </c>
      <c r="I40" s="6"/>
      <c r="J40" s="6"/>
      <c r="K40" s="6"/>
      <c r="L40" s="6"/>
      <c r="M40" s="6"/>
      <c r="N40" s="6"/>
    </row>
    <row r="41" spans="1:14" x14ac:dyDescent="0.2">
      <c r="A41" s="154" t="s">
        <v>608</v>
      </c>
      <c r="B41" s="151" t="s">
        <v>49</v>
      </c>
      <c r="D41"/>
      <c r="G41"/>
      <c r="H41" s="6">
        <v>50</v>
      </c>
      <c r="I41"/>
      <c r="J41"/>
      <c r="K41"/>
      <c r="L41"/>
      <c r="M41"/>
      <c r="N41"/>
    </row>
    <row r="42" spans="1:14" ht="32" x14ac:dyDescent="0.2">
      <c r="A42" s="52" t="s">
        <v>628</v>
      </c>
      <c r="B42" s="151" t="s">
        <v>47</v>
      </c>
      <c r="D42"/>
      <c r="G42"/>
      <c r="H42" s="6">
        <v>500</v>
      </c>
      <c r="I42"/>
      <c r="J42"/>
      <c r="K42"/>
      <c r="L42"/>
      <c r="M42"/>
      <c r="N42"/>
    </row>
    <row r="43" spans="1:14" ht="16" x14ac:dyDescent="0.2">
      <c r="A43" s="153" t="s">
        <v>602</v>
      </c>
      <c r="B43" s="151" t="s">
        <v>49</v>
      </c>
      <c r="D43"/>
      <c r="G43"/>
      <c r="H43" s="6">
        <v>100</v>
      </c>
      <c r="I43"/>
      <c r="J43"/>
      <c r="K43"/>
      <c r="L43"/>
      <c r="M43"/>
      <c r="N43"/>
    </row>
    <row r="44" spans="1:14" x14ac:dyDescent="0.2">
      <c r="A44" t="s">
        <v>224</v>
      </c>
      <c r="B44" s="151" t="s">
        <v>47</v>
      </c>
      <c r="D44" t="s">
        <v>225</v>
      </c>
      <c r="E44" t="s">
        <v>226</v>
      </c>
      <c r="H44" s="6">
        <v>150</v>
      </c>
      <c r="I44"/>
      <c r="J44"/>
      <c r="K44"/>
      <c r="L44"/>
      <c r="M44"/>
      <c r="N44"/>
    </row>
    <row r="45" spans="1:14" x14ac:dyDescent="0.2">
      <c r="A45" t="s">
        <v>227</v>
      </c>
      <c r="B45" s="151" t="s">
        <v>46</v>
      </c>
      <c r="D45" t="s">
        <v>228</v>
      </c>
      <c r="E45" t="s">
        <v>215</v>
      </c>
      <c r="H45" s="6">
        <v>100</v>
      </c>
      <c r="I45"/>
      <c r="J45"/>
      <c r="K45"/>
      <c r="L45"/>
      <c r="M45"/>
      <c r="N45"/>
    </row>
    <row r="46" spans="1:14" ht="16" x14ac:dyDescent="0.2">
      <c r="A46" s="52" t="s">
        <v>630</v>
      </c>
      <c r="B46" s="151" t="s">
        <v>49</v>
      </c>
      <c r="D46"/>
      <c r="G46"/>
      <c r="H46" s="6">
        <v>500</v>
      </c>
      <c r="I46"/>
      <c r="J46"/>
      <c r="K46"/>
      <c r="L46"/>
      <c r="M46"/>
      <c r="N46"/>
    </row>
    <row r="47" spans="1:14" x14ac:dyDescent="0.2">
      <c r="A47" t="s">
        <v>639</v>
      </c>
      <c r="B47" s="151" t="s">
        <v>49</v>
      </c>
      <c r="D47"/>
      <c r="G47"/>
      <c r="H47" s="6">
        <v>400</v>
      </c>
      <c r="I47"/>
      <c r="J47"/>
      <c r="K47"/>
      <c r="L47"/>
      <c r="M47"/>
      <c r="N47"/>
    </row>
    <row r="48" spans="1:14" x14ac:dyDescent="0.2">
      <c r="A48" t="s">
        <v>229</v>
      </c>
      <c r="B48" s="151" t="s">
        <v>49</v>
      </c>
      <c r="C48" t="s">
        <v>230</v>
      </c>
      <c r="D48" s="3" t="s">
        <v>231</v>
      </c>
      <c r="E48" t="s">
        <v>215</v>
      </c>
      <c r="H48" s="6">
        <v>4000</v>
      </c>
      <c r="I48"/>
      <c r="J48"/>
      <c r="K48"/>
      <c r="L48"/>
      <c r="M48"/>
      <c r="N48"/>
    </row>
    <row r="49" spans="1:14" ht="16" x14ac:dyDescent="0.2">
      <c r="A49" s="52" t="s">
        <v>633</v>
      </c>
      <c r="B49" s="151" t="s">
        <v>49</v>
      </c>
      <c r="C49" s="52"/>
      <c r="D49" s="52"/>
      <c r="E49" s="52"/>
      <c r="F49" s="52"/>
      <c r="G49" s="52"/>
      <c r="H49" s="6">
        <v>600</v>
      </c>
      <c r="I49"/>
      <c r="J49"/>
      <c r="K49"/>
      <c r="L49"/>
      <c r="M49"/>
      <c r="N49"/>
    </row>
    <row r="50" spans="1:14" x14ac:dyDescent="0.2">
      <c r="A50" t="s">
        <v>232</v>
      </c>
      <c r="B50" s="151" t="s">
        <v>47</v>
      </c>
      <c r="D50" t="s">
        <v>233</v>
      </c>
      <c r="E50" t="s">
        <v>234</v>
      </c>
      <c r="H50" s="6">
        <v>100</v>
      </c>
      <c r="I50"/>
      <c r="J50"/>
      <c r="K50"/>
      <c r="L50"/>
      <c r="M50"/>
      <c r="N50"/>
    </row>
    <row r="51" spans="1:14" ht="16" x14ac:dyDescent="0.2">
      <c r="A51" s="52" t="s">
        <v>235</v>
      </c>
      <c r="B51" s="151" t="s">
        <v>49</v>
      </c>
      <c r="C51" t="s">
        <v>236</v>
      </c>
      <c r="D51" t="s">
        <v>237</v>
      </c>
      <c r="E51" t="s">
        <v>238</v>
      </c>
      <c r="H51" s="6">
        <v>100</v>
      </c>
      <c r="I51"/>
      <c r="J51"/>
      <c r="K51"/>
      <c r="L51"/>
      <c r="M51"/>
      <c r="N51"/>
    </row>
    <row r="52" spans="1:14" x14ac:dyDescent="0.2">
      <c r="A52" t="s">
        <v>239</v>
      </c>
      <c r="B52" s="151" t="s">
        <v>49</v>
      </c>
      <c r="D52" t="s">
        <v>240</v>
      </c>
      <c r="E52" t="s">
        <v>241</v>
      </c>
      <c r="H52" s="6">
        <v>100</v>
      </c>
      <c r="I52"/>
      <c r="J52"/>
      <c r="K52"/>
      <c r="L52"/>
      <c r="M52"/>
      <c r="N52"/>
    </row>
    <row r="53" spans="1:14" ht="32" x14ac:dyDescent="0.2">
      <c r="A53" s="52" t="s">
        <v>242</v>
      </c>
      <c r="B53" s="151" t="s">
        <v>47</v>
      </c>
      <c r="C53" t="s">
        <v>243</v>
      </c>
      <c r="D53" t="s">
        <v>244</v>
      </c>
      <c r="E53" t="s">
        <v>245</v>
      </c>
      <c r="H53" s="6">
        <v>100</v>
      </c>
      <c r="I53"/>
      <c r="J53"/>
      <c r="K53"/>
      <c r="L53"/>
      <c r="M53"/>
      <c r="N53"/>
    </row>
    <row r="54" spans="1:14" x14ac:dyDescent="0.2">
      <c r="A54" s="154" t="s">
        <v>609</v>
      </c>
      <c r="B54" s="151" t="s">
        <v>45</v>
      </c>
      <c r="D54"/>
      <c r="G54"/>
      <c r="H54" s="6">
        <v>200</v>
      </c>
      <c r="I54"/>
      <c r="J54"/>
      <c r="K54"/>
      <c r="L54"/>
      <c r="M54"/>
      <c r="N54"/>
    </row>
    <row r="55" spans="1:14" x14ac:dyDescent="0.2">
      <c r="A55" s="154" t="s">
        <v>610</v>
      </c>
      <c r="B55" s="151" t="s">
        <v>49</v>
      </c>
      <c r="D55"/>
      <c r="G55"/>
      <c r="H55" s="6">
        <v>100</v>
      </c>
      <c r="I55"/>
      <c r="J55"/>
      <c r="K55"/>
      <c r="L55"/>
      <c r="M55"/>
      <c r="N55"/>
    </row>
    <row r="56" spans="1:14" ht="16" x14ac:dyDescent="0.2">
      <c r="A56" s="52" t="s">
        <v>635</v>
      </c>
      <c r="B56" s="151" t="s">
        <v>49</v>
      </c>
      <c r="D56"/>
      <c r="G56"/>
      <c r="H56" s="6">
        <v>1000</v>
      </c>
      <c r="I56"/>
      <c r="J56"/>
      <c r="K56"/>
      <c r="L56"/>
      <c r="M56"/>
      <c r="N56"/>
    </row>
    <row r="57" spans="1:14" x14ac:dyDescent="0.2">
      <c r="A57" t="s">
        <v>246</v>
      </c>
      <c r="B57" s="151" t="s">
        <v>47</v>
      </c>
      <c r="C57" t="s">
        <v>247</v>
      </c>
      <c r="D57" t="s">
        <v>248</v>
      </c>
      <c r="E57" t="s">
        <v>249</v>
      </c>
      <c r="H57" s="6">
        <v>250</v>
      </c>
      <c r="I57"/>
      <c r="J57"/>
      <c r="K57"/>
      <c r="L57"/>
      <c r="M57"/>
      <c r="N57"/>
    </row>
    <row r="58" spans="1:14" x14ac:dyDescent="0.2">
      <c r="A58" s="152" t="s">
        <v>600</v>
      </c>
      <c r="B58" s="151" t="s">
        <v>49</v>
      </c>
      <c r="D58"/>
      <c r="G58"/>
      <c r="H58" s="6">
        <v>500</v>
      </c>
      <c r="I58"/>
      <c r="J58"/>
      <c r="K58"/>
      <c r="L58"/>
      <c r="M58"/>
      <c r="N58"/>
    </row>
    <row r="59" spans="1:14" x14ac:dyDescent="0.2">
      <c r="A59" t="s">
        <v>250</v>
      </c>
      <c r="B59" s="151" t="s">
        <v>49</v>
      </c>
      <c r="C59" t="s">
        <v>251</v>
      </c>
      <c r="D59" s="3">
        <v>9924828786</v>
      </c>
      <c r="E59" t="s">
        <v>252</v>
      </c>
      <c r="H59" s="6">
        <v>300</v>
      </c>
      <c r="I59"/>
      <c r="J59"/>
      <c r="K59"/>
      <c r="L59"/>
      <c r="M59"/>
      <c r="N59"/>
    </row>
    <row r="60" spans="1:14" ht="32" x14ac:dyDescent="0.2">
      <c r="A60" s="52" t="s">
        <v>253</v>
      </c>
      <c r="B60" s="32" t="s">
        <v>46</v>
      </c>
      <c r="C60" t="s">
        <v>254</v>
      </c>
      <c r="D60" t="s">
        <v>255</v>
      </c>
      <c r="E60" t="s">
        <v>256</v>
      </c>
      <c r="H60" s="94">
        <v>500</v>
      </c>
      <c r="I60"/>
      <c r="J60"/>
      <c r="K60"/>
      <c r="L60"/>
      <c r="M60"/>
      <c r="N60"/>
    </row>
    <row r="61" spans="1:14" ht="16" x14ac:dyDescent="0.2">
      <c r="A61" s="52" t="s">
        <v>257</v>
      </c>
      <c r="B61" s="151" t="s">
        <v>49</v>
      </c>
      <c r="C61" t="s">
        <v>258</v>
      </c>
      <c r="E61" t="s">
        <v>259</v>
      </c>
      <c r="H61" s="6">
        <v>300</v>
      </c>
      <c r="I61"/>
      <c r="J61"/>
      <c r="K61"/>
      <c r="L61"/>
      <c r="M61"/>
      <c r="N61"/>
    </row>
    <row r="62" spans="1:14" ht="16" x14ac:dyDescent="0.2">
      <c r="A62" s="153" t="s">
        <v>612</v>
      </c>
      <c r="B62" s="151" t="s">
        <v>47</v>
      </c>
      <c r="D62"/>
      <c r="G62"/>
      <c r="H62" s="6">
        <v>100</v>
      </c>
      <c r="I62"/>
      <c r="J62"/>
      <c r="K62"/>
      <c r="L62"/>
      <c r="M62"/>
      <c r="N62"/>
    </row>
    <row r="63" spans="1:14" x14ac:dyDescent="0.2">
      <c r="A63" s="154" t="s">
        <v>611</v>
      </c>
      <c r="B63" s="151" t="s">
        <v>49</v>
      </c>
      <c r="D63"/>
      <c r="G63"/>
      <c r="H63" s="6">
        <v>100</v>
      </c>
      <c r="I63"/>
      <c r="J63"/>
      <c r="K63"/>
      <c r="L63"/>
      <c r="M63"/>
      <c r="N63"/>
    </row>
    <row r="64" spans="1:14" ht="16" x14ac:dyDescent="0.2">
      <c r="A64" s="52" t="s">
        <v>260</v>
      </c>
      <c r="B64" s="151" t="s">
        <v>49</v>
      </c>
      <c r="C64" t="s">
        <v>261</v>
      </c>
      <c r="D64" t="s">
        <v>262</v>
      </c>
      <c r="E64" t="s">
        <v>263</v>
      </c>
      <c r="H64" s="6">
        <v>200</v>
      </c>
      <c r="I64"/>
      <c r="J64"/>
      <c r="K64"/>
      <c r="L64"/>
      <c r="M64"/>
      <c r="N64"/>
    </row>
    <row r="65" spans="1:35" x14ac:dyDescent="0.2">
      <c r="A65" s="154" t="s">
        <v>607</v>
      </c>
      <c r="B65" s="151" t="s">
        <v>49</v>
      </c>
      <c r="D65"/>
      <c r="G65"/>
      <c r="H65" s="6">
        <v>200</v>
      </c>
      <c r="I65"/>
      <c r="J65"/>
      <c r="K65"/>
      <c r="L65"/>
      <c r="M65"/>
      <c r="N65"/>
    </row>
    <row r="66" spans="1:35" x14ac:dyDescent="0.2">
      <c r="A66" t="s">
        <v>264</v>
      </c>
      <c r="B66" s="151" t="s">
        <v>49</v>
      </c>
      <c r="C66" t="s">
        <v>265</v>
      </c>
      <c r="D66" s="3" t="s">
        <v>266</v>
      </c>
      <c r="E66" t="s">
        <v>267</v>
      </c>
      <c r="H66" s="6">
        <v>1000</v>
      </c>
      <c r="I66"/>
      <c r="J66"/>
      <c r="K66"/>
      <c r="L66"/>
      <c r="M66"/>
      <c r="N66"/>
    </row>
    <row r="67" spans="1:35" x14ac:dyDescent="0.2">
      <c r="A67" t="s">
        <v>268</v>
      </c>
      <c r="B67" s="151" t="s">
        <v>49</v>
      </c>
      <c r="D67" t="s">
        <v>269</v>
      </c>
      <c r="E67" t="s">
        <v>270</v>
      </c>
      <c r="H67" s="6">
        <v>250</v>
      </c>
      <c r="I67"/>
      <c r="J67"/>
      <c r="K67"/>
      <c r="L67"/>
      <c r="M67"/>
      <c r="N67"/>
    </row>
    <row r="68" spans="1:35" ht="32" x14ac:dyDescent="0.2">
      <c r="A68" s="52" t="s">
        <v>632</v>
      </c>
      <c r="B68" s="151" t="s">
        <v>49</v>
      </c>
      <c r="D68"/>
      <c r="G68"/>
      <c r="H68" s="6">
        <v>600</v>
      </c>
      <c r="I68"/>
      <c r="J68"/>
      <c r="K68"/>
      <c r="L68"/>
      <c r="M68"/>
      <c r="N68"/>
    </row>
    <row r="69" spans="1:35" ht="16" x14ac:dyDescent="0.2">
      <c r="A69" s="52" t="s">
        <v>271</v>
      </c>
      <c r="B69" s="151" t="s">
        <v>49</v>
      </c>
      <c r="C69" t="s">
        <v>272</v>
      </c>
      <c r="D69" t="s">
        <v>273</v>
      </c>
      <c r="E69" t="s">
        <v>274</v>
      </c>
      <c r="H69" s="6">
        <v>100</v>
      </c>
      <c r="I69"/>
      <c r="J69"/>
      <c r="K69"/>
      <c r="L69"/>
      <c r="M69"/>
      <c r="N69"/>
    </row>
    <row r="70" spans="1:35" x14ac:dyDescent="0.2">
      <c r="A70" t="s">
        <v>275</v>
      </c>
      <c r="B70" s="151" t="s">
        <v>45</v>
      </c>
      <c r="C70" t="s">
        <v>276</v>
      </c>
      <c r="D70" s="3">
        <v>9163917974</v>
      </c>
      <c r="E70" t="s">
        <v>277</v>
      </c>
      <c r="H70" s="6">
        <v>200</v>
      </c>
      <c r="I70"/>
      <c r="J70"/>
      <c r="K70"/>
      <c r="L70"/>
      <c r="M70"/>
      <c r="N70"/>
    </row>
    <row r="71" spans="1:35" ht="16" x14ac:dyDescent="0.2">
      <c r="A71" s="52" t="s">
        <v>278</v>
      </c>
      <c r="B71" s="151" t="s">
        <v>49</v>
      </c>
      <c r="C71" t="s">
        <v>279</v>
      </c>
      <c r="D71" t="s">
        <v>280</v>
      </c>
      <c r="E71" t="s">
        <v>281</v>
      </c>
      <c r="H71" s="6">
        <v>100</v>
      </c>
      <c r="I71"/>
      <c r="J71"/>
      <c r="K71"/>
      <c r="L71"/>
      <c r="M71"/>
      <c r="N71"/>
    </row>
    <row r="72" spans="1:35" x14ac:dyDescent="0.2">
      <c r="A72" t="s">
        <v>282</v>
      </c>
      <c r="B72" s="151" t="s">
        <v>49</v>
      </c>
      <c r="D72" t="s">
        <v>283</v>
      </c>
      <c r="E72" t="s">
        <v>284</v>
      </c>
      <c r="H72" s="6">
        <v>100</v>
      </c>
      <c r="I72"/>
      <c r="J72"/>
      <c r="K72"/>
      <c r="L72"/>
      <c r="M72"/>
      <c r="N72"/>
    </row>
    <row r="73" spans="1:35" x14ac:dyDescent="0.2">
      <c r="A73" t="s">
        <v>285</v>
      </c>
      <c r="B73" s="151" t="s">
        <v>49</v>
      </c>
      <c r="C73" t="s">
        <v>286</v>
      </c>
      <c r="D73" t="s">
        <v>287</v>
      </c>
      <c r="E73" t="s">
        <v>288</v>
      </c>
      <c r="H73" s="6">
        <v>300</v>
      </c>
      <c r="I73"/>
      <c r="J73"/>
      <c r="K73"/>
      <c r="L73"/>
      <c r="M73"/>
      <c r="N73"/>
    </row>
    <row r="74" spans="1:35" x14ac:dyDescent="0.2">
      <c r="A74" t="s">
        <v>289</v>
      </c>
      <c r="B74" s="151" t="s">
        <v>49</v>
      </c>
      <c r="C74" t="s">
        <v>597</v>
      </c>
      <c r="D74">
        <v>9258211911</v>
      </c>
      <c r="E74" t="s">
        <v>215</v>
      </c>
      <c r="H74" s="6">
        <v>500</v>
      </c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</row>
    <row r="75" spans="1:35" x14ac:dyDescent="0.2">
      <c r="A75" s="95" t="s">
        <v>290</v>
      </c>
      <c r="B75" s="96" t="s">
        <v>49</v>
      </c>
      <c r="C75" s="96" t="s">
        <v>291</v>
      </c>
      <c r="D75" s="34" t="s">
        <v>292</v>
      </c>
      <c r="E75" s="96" t="s">
        <v>293</v>
      </c>
      <c r="F75" s="96"/>
      <c r="G75" s="97"/>
      <c r="H75" s="6">
        <v>100</v>
      </c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</row>
    <row r="76" spans="1:35" x14ac:dyDescent="0.2">
      <c r="A76" s="95" t="s">
        <v>294</v>
      </c>
      <c r="B76" s="96" t="s">
        <v>49</v>
      </c>
      <c r="C76" s="96" t="s">
        <v>295</v>
      </c>
      <c r="D76" s="96" t="s">
        <v>296</v>
      </c>
      <c r="E76" s="96" t="s">
        <v>297</v>
      </c>
      <c r="F76" s="96"/>
      <c r="G76" s="97"/>
      <c r="H76" s="6">
        <v>500</v>
      </c>
      <c r="I76"/>
      <c r="J76"/>
      <c r="K76"/>
      <c r="L76"/>
      <c r="M76"/>
      <c r="N76"/>
    </row>
    <row r="77" spans="1:35" ht="16" x14ac:dyDescent="0.2">
      <c r="A77" s="52" t="s">
        <v>629</v>
      </c>
      <c r="B77" s="151" t="s">
        <v>37</v>
      </c>
      <c r="D77"/>
      <c r="G77"/>
      <c r="H77" s="6">
        <v>50</v>
      </c>
      <c r="I77"/>
      <c r="J77"/>
      <c r="K77"/>
      <c r="L77"/>
      <c r="M77"/>
      <c r="N77"/>
    </row>
    <row r="78" spans="1:35" x14ac:dyDescent="0.2">
      <c r="A78" s="98" t="s">
        <v>298</v>
      </c>
      <c r="B78" s="151" t="s">
        <v>37</v>
      </c>
      <c r="D78" t="s">
        <v>299</v>
      </c>
      <c r="E78" t="s">
        <v>300</v>
      </c>
      <c r="H78" s="6">
        <v>50</v>
      </c>
      <c r="I78"/>
      <c r="J78"/>
      <c r="K78"/>
      <c r="L78"/>
      <c r="M78"/>
      <c r="N78"/>
    </row>
    <row r="79" spans="1:35" x14ac:dyDescent="0.2">
      <c r="A79" s="154" t="s">
        <v>599</v>
      </c>
      <c r="B79" s="151" t="s">
        <v>37</v>
      </c>
      <c r="D79"/>
      <c r="G79"/>
      <c r="H79" s="6">
        <v>50</v>
      </c>
      <c r="I79"/>
      <c r="J79"/>
      <c r="K79"/>
      <c r="L79"/>
      <c r="M79"/>
      <c r="N79"/>
    </row>
    <row r="80" spans="1:35" ht="16" x14ac:dyDescent="0.2">
      <c r="A80" s="52" t="s">
        <v>637</v>
      </c>
      <c r="B80" s="151" t="s">
        <v>49</v>
      </c>
      <c r="D80"/>
      <c r="G80"/>
      <c r="H80" s="6">
        <v>400</v>
      </c>
      <c r="I80"/>
      <c r="J80"/>
      <c r="K80"/>
      <c r="L80"/>
      <c r="M80"/>
      <c r="N80"/>
    </row>
    <row r="81" spans="1:14" x14ac:dyDescent="0.2">
      <c r="A81" t="s">
        <v>301</v>
      </c>
      <c r="B81" s="151" t="s">
        <v>37</v>
      </c>
      <c r="C81" t="s">
        <v>302</v>
      </c>
      <c r="D81"/>
      <c r="H81" s="6">
        <v>7</v>
      </c>
      <c r="I81"/>
      <c r="J81"/>
      <c r="K81"/>
      <c r="L81"/>
      <c r="M81"/>
      <c r="N81"/>
    </row>
    <row r="82" spans="1:14" x14ac:dyDescent="0.2">
      <c r="D82"/>
      <c r="G82"/>
      <c r="H82"/>
      <c r="I82"/>
      <c r="J82"/>
      <c r="K82"/>
      <c r="L82"/>
      <c r="M82"/>
      <c r="N82"/>
    </row>
    <row r="83" spans="1:14" x14ac:dyDescent="0.2">
      <c r="D83"/>
      <c r="G83"/>
      <c r="H83"/>
      <c r="I83"/>
      <c r="J83"/>
      <c r="K83"/>
      <c r="L83"/>
      <c r="M83"/>
      <c r="N83"/>
    </row>
    <row r="84" spans="1:14" x14ac:dyDescent="0.2">
      <c r="D84"/>
      <c r="G84"/>
      <c r="H84"/>
      <c r="I84"/>
      <c r="J84"/>
      <c r="K84"/>
      <c r="L84"/>
      <c r="M84"/>
      <c r="N84"/>
    </row>
    <row r="85" spans="1:14" x14ac:dyDescent="0.2">
      <c r="D85"/>
      <c r="G85"/>
      <c r="H85"/>
      <c r="I85"/>
      <c r="J85"/>
      <c r="K85"/>
      <c r="L85"/>
      <c r="M85"/>
      <c r="N85"/>
    </row>
    <row r="86" spans="1:14" x14ac:dyDescent="0.2">
      <c r="D86"/>
      <c r="G86"/>
      <c r="H86"/>
      <c r="I86"/>
      <c r="J86"/>
      <c r="K86"/>
      <c r="L86"/>
      <c r="M86"/>
      <c r="N86"/>
    </row>
  </sheetData>
  <sortState xmlns:xlrd2="http://schemas.microsoft.com/office/spreadsheetml/2017/richdata2" ref="A5:H82">
    <sortCondition ref="A5:A82"/>
  </sortState>
  <dataValidations count="1">
    <dataValidation type="list" showInputMessage="1" showErrorMessage="1" sqref="A56:A67" xr:uid="{D36151A3-DAD3-A74C-A231-A6E5280FC104}">
      <formula1>$A$5:$A$490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968827-A3BE-4F61-8103-12D34E471C32}">
          <x14:formula1>
            <xm:f>'Do Not Edit'!$A$2:$A$8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E876D"/>
  </sheetPr>
  <dimension ref="A1:F27"/>
  <sheetViews>
    <sheetView zoomScaleNormal="100" workbookViewId="0">
      <selection activeCell="C27" sqref="C27"/>
    </sheetView>
  </sheetViews>
  <sheetFormatPr baseColWidth="10" defaultColWidth="8.83203125" defaultRowHeight="15" x14ac:dyDescent="0.2"/>
  <cols>
    <col min="1" max="6" width="30.5" customWidth="1"/>
  </cols>
  <sheetData>
    <row r="1" spans="1:6" x14ac:dyDescent="0.2">
      <c r="A1" s="5" t="s">
        <v>0</v>
      </c>
      <c r="B1" s="2" t="s">
        <v>40</v>
      </c>
      <c r="C1" s="2"/>
      <c r="D1" s="13" t="s">
        <v>85</v>
      </c>
      <c r="E1" s="1" t="s">
        <v>150</v>
      </c>
    </row>
    <row r="2" spans="1:6" x14ac:dyDescent="0.2">
      <c r="A2" s="5" t="s">
        <v>1</v>
      </c>
      <c r="B2" s="2">
        <v>2024</v>
      </c>
      <c r="C2" s="2"/>
      <c r="D2" s="13" t="s">
        <v>89</v>
      </c>
      <c r="E2" s="12">
        <v>45627</v>
      </c>
    </row>
    <row r="4" spans="1:6" s="4" customFormat="1" ht="48" x14ac:dyDescent="0.2">
      <c r="A4" s="7" t="s">
        <v>65</v>
      </c>
      <c r="B4" s="7" t="s">
        <v>64</v>
      </c>
      <c r="C4" s="7" t="s">
        <v>52</v>
      </c>
      <c r="D4" s="7" t="s">
        <v>50</v>
      </c>
      <c r="E4" s="7" t="s">
        <v>53</v>
      </c>
      <c r="F4" s="7" t="s">
        <v>51</v>
      </c>
    </row>
    <row r="5" spans="1:6" x14ac:dyDescent="0.2">
      <c r="A5" t="s">
        <v>8</v>
      </c>
      <c r="B5" t="s">
        <v>31</v>
      </c>
      <c r="C5" t="s">
        <v>613</v>
      </c>
    </row>
    <row r="6" spans="1:6" x14ac:dyDescent="0.2">
      <c r="A6" t="s">
        <v>9</v>
      </c>
      <c r="B6" t="s">
        <v>31</v>
      </c>
      <c r="C6" t="s">
        <v>613</v>
      </c>
    </row>
    <row r="7" spans="1:6" x14ac:dyDescent="0.2">
      <c r="A7" t="s">
        <v>10</v>
      </c>
      <c r="B7" t="s">
        <v>31</v>
      </c>
      <c r="C7" t="s">
        <v>613</v>
      </c>
    </row>
    <row r="8" spans="1:6" x14ac:dyDescent="0.2">
      <c r="A8" t="s">
        <v>36</v>
      </c>
      <c r="B8" t="s">
        <v>37</v>
      </c>
      <c r="C8" s="98" t="s">
        <v>142</v>
      </c>
    </row>
    <row r="9" spans="1:6" x14ac:dyDescent="0.2">
      <c r="A9" t="s">
        <v>68</v>
      </c>
      <c r="B9" t="s">
        <v>31</v>
      </c>
      <c r="C9" t="s">
        <v>613</v>
      </c>
    </row>
    <row r="10" spans="1:6" x14ac:dyDescent="0.2">
      <c r="A10" t="s">
        <v>69</v>
      </c>
      <c r="B10" t="s">
        <v>31</v>
      </c>
      <c r="C10" t="s">
        <v>613</v>
      </c>
    </row>
    <row r="11" spans="1:6" x14ac:dyDescent="0.2">
      <c r="A11" t="s">
        <v>598</v>
      </c>
      <c r="B11" t="s">
        <v>32</v>
      </c>
      <c r="C11" t="s">
        <v>613</v>
      </c>
    </row>
    <row r="12" spans="1:6" x14ac:dyDescent="0.2">
      <c r="A12" t="s">
        <v>164</v>
      </c>
      <c r="B12" t="s">
        <v>28</v>
      </c>
      <c r="C12" t="s">
        <v>165</v>
      </c>
      <c r="E12" t="s">
        <v>166</v>
      </c>
    </row>
    <row r="13" spans="1:6" x14ac:dyDescent="0.2">
      <c r="A13" t="s">
        <v>110</v>
      </c>
      <c r="B13" t="s">
        <v>34</v>
      </c>
    </row>
    <row r="14" spans="1:6" x14ac:dyDescent="0.2">
      <c r="A14" t="s">
        <v>123</v>
      </c>
      <c r="B14" t="s">
        <v>32</v>
      </c>
      <c r="C14" t="s">
        <v>139</v>
      </c>
      <c r="D14">
        <v>9988466820</v>
      </c>
    </row>
    <row r="15" spans="1:6" x14ac:dyDescent="0.2">
      <c r="A15" t="s">
        <v>124</v>
      </c>
      <c r="B15" t="s">
        <v>32</v>
      </c>
      <c r="C15" t="s">
        <v>140</v>
      </c>
      <c r="D15">
        <v>9176585351</v>
      </c>
    </row>
    <row r="16" spans="1:6" x14ac:dyDescent="0.2">
      <c r="A16" t="s">
        <v>125</v>
      </c>
      <c r="B16" t="s">
        <v>32</v>
      </c>
      <c r="C16" t="s">
        <v>141</v>
      </c>
      <c r="D16">
        <v>9950221008</v>
      </c>
    </row>
    <row r="17" spans="1:4" x14ac:dyDescent="0.2">
      <c r="A17" t="s">
        <v>126</v>
      </c>
      <c r="B17" t="s">
        <v>32</v>
      </c>
      <c r="C17" t="s">
        <v>133</v>
      </c>
      <c r="D17">
        <v>9988418442</v>
      </c>
    </row>
    <row r="18" spans="1:4" x14ac:dyDescent="0.2">
      <c r="A18" t="s">
        <v>127</v>
      </c>
      <c r="B18" t="s">
        <v>32</v>
      </c>
      <c r="C18" t="s">
        <v>134</v>
      </c>
      <c r="D18">
        <v>9190894894</v>
      </c>
    </row>
    <row r="19" spans="1:4" x14ac:dyDescent="0.2">
      <c r="A19" t="s">
        <v>128</v>
      </c>
      <c r="B19" t="s">
        <v>32</v>
      </c>
      <c r="C19" t="s">
        <v>135</v>
      </c>
      <c r="D19">
        <v>9190713425</v>
      </c>
    </row>
    <row r="20" spans="1:4" x14ac:dyDescent="0.2">
      <c r="A20" t="s">
        <v>129</v>
      </c>
      <c r="B20" t="s">
        <v>32</v>
      </c>
      <c r="C20" t="s">
        <v>136</v>
      </c>
      <c r="D20">
        <v>9164543955</v>
      </c>
    </row>
    <row r="21" spans="1:4" x14ac:dyDescent="0.2">
      <c r="A21" t="s">
        <v>130</v>
      </c>
      <c r="B21" t="s">
        <v>32</v>
      </c>
      <c r="C21" t="s">
        <v>137</v>
      </c>
      <c r="D21">
        <v>9988465099</v>
      </c>
    </row>
    <row r="22" spans="1:4" x14ac:dyDescent="0.2">
      <c r="A22" t="s">
        <v>131</v>
      </c>
      <c r="B22" t="s">
        <v>32</v>
      </c>
      <c r="C22" t="s">
        <v>138</v>
      </c>
      <c r="D22">
        <v>9988466801</v>
      </c>
    </row>
    <row r="23" spans="1:4" x14ac:dyDescent="0.2">
      <c r="A23" t="s">
        <v>132</v>
      </c>
      <c r="B23" t="s">
        <v>32</v>
      </c>
      <c r="C23" t="s">
        <v>145</v>
      </c>
      <c r="D23">
        <v>9913188964</v>
      </c>
    </row>
    <row r="24" spans="1:4" x14ac:dyDescent="0.2">
      <c r="A24" t="s">
        <v>143</v>
      </c>
      <c r="B24" t="s">
        <v>31</v>
      </c>
      <c r="C24" t="s">
        <v>144</v>
      </c>
    </row>
    <row r="25" spans="1:4" x14ac:dyDescent="0.2">
      <c r="A25" s="155" t="s">
        <v>304</v>
      </c>
      <c r="B25" t="s">
        <v>320</v>
      </c>
    </row>
    <row r="26" spans="1:4" x14ac:dyDescent="0.2">
      <c r="A26" t="s">
        <v>338</v>
      </c>
      <c r="B26" t="s">
        <v>31</v>
      </c>
    </row>
    <row r="27" spans="1:4" x14ac:dyDescent="0.2">
      <c r="A27" t="s">
        <v>339</v>
      </c>
      <c r="B27" t="s">
        <v>32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400-000000000000}">
          <x14:formula1>
            <xm:f>'Do Not Edit'!$C$2:$C$9</xm:f>
          </x14:formula1>
          <xm:sqref>B5:B23 B25:B104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BC38"/>
  </sheetPr>
  <dimension ref="A1:M212"/>
  <sheetViews>
    <sheetView topLeftCell="A82" zoomScaleNormal="100" workbookViewId="0">
      <selection activeCell="D114" sqref="D114"/>
    </sheetView>
  </sheetViews>
  <sheetFormatPr baseColWidth="10" defaultColWidth="8.83203125" defaultRowHeight="15" x14ac:dyDescent="0.2"/>
  <cols>
    <col min="1" max="1" width="20.5" style="107" customWidth="1"/>
    <col min="2" max="2" width="20.5" style="66" customWidth="1"/>
    <col min="3" max="3" width="21.5" style="50" customWidth="1"/>
    <col min="4" max="4" width="23.1640625" style="50" customWidth="1"/>
    <col min="5" max="5" width="27.1640625" style="50" customWidth="1"/>
    <col min="6" max="6" width="28.1640625" style="50" customWidth="1"/>
    <col min="7" max="8" width="20.5" style="94" customWidth="1"/>
    <col min="9" max="9" width="20.5" style="117" customWidth="1"/>
    <col min="10" max="10" width="20.5" style="125" customWidth="1"/>
    <col min="11" max="11" width="20.5" style="130" customWidth="1"/>
    <col min="12" max="12" width="20.5" style="50" customWidth="1"/>
    <col min="13" max="13" width="20.5" style="122" customWidth="1"/>
  </cols>
  <sheetData>
    <row r="1" spans="1:13" s="1" customFormat="1" x14ac:dyDescent="0.2">
      <c r="A1" s="105" t="s">
        <v>0</v>
      </c>
      <c r="B1" s="63" t="s">
        <v>40</v>
      </c>
      <c r="C1" s="63"/>
      <c r="D1" s="81" t="s">
        <v>85</v>
      </c>
      <c r="E1" s="63" t="s">
        <v>169</v>
      </c>
      <c r="F1" s="63"/>
      <c r="G1" s="112"/>
      <c r="H1" s="112"/>
      <c r="I1" s="113"/>
      <c r="J1" s="124"/>
      <c r="K1" s="129"/>
      <c r="L1" s="63"/>
      <c r="M1" s="118"/>
    </row>
    <row r="2" spans="1:13" s="1" customFormat="1" x14ac:dyDescent="0.2">
      <c r="A2" s="105" t="s">
        <v>1</v>
      </c>
      <c r="B2" s="63">
        <v>2024</v>
      </c>
      <c r="C2" s="63"/>
      <c r="D2" s="81" t="s">
        <v>89</v>
      </c>
      <c r="E2" s="65">
        <v>45658</v>
      </c>
      <c r="F2" s="63"/>
      <c r="G2" s="112"/>
      <c r="H2" s="112"/>
      <c r="I2" s="113"/>
      <c r="J2" s="124"/>
      <c r="K2" s="129"/>
      <c r="L2" s="63"/>
      <c r="M2" s="118"/>
    </row>
    <row r="4" spans="1:13" s="4" customFormat="1" ht="43.5" customHeight="1" x14ac:dyDescent="0.2">
      <c r="A4" s="106" t="s">
        <v>151</v>
      </c>
      <c r="B4" s="9" t="s">
        <v>152</v>
      </c>
      <c r="C4" s="10" t="s">
        <v>2</v>
      </c>
      <c r="D4" s="10" t="s">
        <v>93</v>
      </c>
      <c r="E4" s="10" t="s">
        <v>38</v>
      </c>
      <c r="F4" s="10" t="s">
        <v>4</v>
      </c>
      <c r="G4" s="114" t="s">
        <v>5</v>
      </c>
      <c r="H4" s="114" t="s">
        <v>109</v>
      </c>
      <c r="I4" s="115" t="s">
        <v>180</v>
      </c>
      <c r="J4" s="126" t="s">
        <v>6</v>
      </c>
      <c r="K4" s="131" t="s">
        <v>337</v>
      </c>
      <c r="L4" s="30" t="s">
        <v>39</v>
      </c>
      <c r="M4" s="119" t="s">
        <v>179</v>
      </c>
    </row>
    <row r="5" spans="1:13" x14ac:dyDescent="0.2">
      <c r="A5" s="111">
        <v>45656</v>
      </c>
      <c r="B5" s="66" t="s">
        <v>81</v>
      </c>
      <c r="C5" t="s">
        <v>129</v>
      </c>
      <c r="D5" s="50" t="str">
        <f>VLOOKUP(C5,'Food Donor Database'!A:B,2,FALSE)</f>
        <v>Retailer</v>
      </c>
      <c r="E5" t="s">
        <v>17</v>
      </c>
      <c r="F5" t="s">
        <v>343</v>
      </c>
      <c r="G5" s="116">
        <v>4</v>
      </c>
      <c r="H5" s="116" t="s">
        <v>309</v>
      </c>
      <c r="I5" s="116">
        <v>2.4</v>
      </c>
      <c r="J5" s="127">
        <v>45661</v>
      </c>
      <c r="K5" s="132">
        <f>DAYS360(A5,J5,FALSE)</f>
        <v>4</v>
      </c>
      <c r="L5" s="50" t="s">
        <v>41</v>
      </c>
      <c r="M5" s="120">
        <v>1330</v>
      </c>
    </row>
    <row r="6" spans="1:13" x14ac:dyDescent="0.2">
      <c r="A6" s="111">
        <v>45656</v>
      </c>
      <c r="B6" s="66" t="s">
        <v>81</v>
      </c>
      <c r="C6" t="s">
        <v>129</v>
      </c>
      <c r="D6" s="50" t="str">
        <f>VLOOKUP(C6,'Food Donor Database'!A:B,2,FALSE)</f>
        <v>Retailer</v>
      </c>
      <c r="E6" t="s">
        <v>13</v>
      </c>
      <c r="F6" t="s">
        <v>344</v>
      </c>
      <c r="G6" s="116">
        <v>25</v>
      </c>
      <c r="H6" s="116" t="s">
        <v>311</v>
      </c>
      <c r="I6" s="116">
        <v>20</v>
      </c>
      <c r="J6" s="127">
        <v>45664</v>
      </c>
      <c r="K6" s="132">
        <f>DAYS360(A6,J6,FALSE)</f>
        <v>7</v>
      </c>
      <c r="L6" s="50" t="s">
        <v>41</v>
      </c>
      <c r="M6" s="120">
        <v>33500</v>
      </c>
    </row>
    <row r="7" spans="1:13" x14ac:dyDescent="0.2">
      <c r="A7" s="111">
        <v>45656</v>
      </c>
      <c r="B7" s="66" t="s">
        <v>81</v>
      </c>
      <c r="C7" t="s">
        <v>129</v>
      </c>
      <c r="D7" s="50" t="str">
        <f>VLOOKUP(C7,'Food Donor Database'!A:B,2,FALSE)</f>
        <v>Retailer</v>
      </c>
      <c r="E7" t="s">
        <v>20</v>
      </c>
      <c r="F7" t="s">
        <v>342</v>
      </c>
      <c r="G7" s="116">
        <v>82</v>
      </c>
      <c r="H7" s="116" t="s">
        <v>313</v>
      </c>
      <c r="I7" s="116">
        <v>2.85</v>
      </c>
      <c r="J7" s="127">
        <v>45665</v>
      </c>
      <c r="K7" s="132">
        <f>DAYS360(A7,J7,FALSE)</f>
        <v>8</v>
      </c>
      <c r="L7" s="50" t="s">
        <v>41</v>
      </c>
      <c r="M7" s="120">
        <v>574</v>
      </c>
    </row>
    <row r="8" spans="1:13" x14ac:dyDescent="0.2">
      <c r="A8" s="111">
        <v>45656</v>
      </c>
      <c r="B8" s="66" t="s">
        <v>81</v>
      </c>
      <c r="C8" t="s">
        <v>129</v>
      </c>
      <c r="D8" s="50" t="str">
        <f>VLOOKUP(C8,'Food Donor Database'!A:B,2,FALSE)</f>
        <v>Retailer</v>
      </c>
      <c r="E8" t="s">
        <v>20</v>
      </c>
      <c r="F8" t="s">
        <v>328</v>
      </c>
      <c r="G8" s="116">
        <v>75</v>
      </c>
      <c r="H8" s="116" t="s">
        <v>313</v>
      </c>
      <c r="I8" s="116">
        <v>7.5</v>
      </c>
      <c r="J8" s="127">
        <v>45667</v>
      </c>
      <c r="K8" s="132">
        <f>DAYS360(A8,J8,FALSE)</f>
        <v>10</v>
      </c>
      <c r="L8" s="50" t="s">
        <v>41</v>
      </c>
      <c r="M8" s="120">
        <v>1893.75</v>
      </c>
    </row>
    <row r="9" spans="1:13" x14ac:dyDescent="0.2">
      <c r="A9" s="111">
        <v>45656</v>
      </c>
      <c r="B9" s="66" t="s">
        <v>81</v>
      </c>
      <c r="C9" t="s">
        <v>129</v>
      </c>
      <c r="D9" s="50" t="str">
        <f>VLOOKUP(C9,'Food Donor Database'!A:B,2,FALSE)</f>
        <v>Retailer</v>
      </c>
      <c r="E9" t="s">
        <v>20</v>
      </c>
      <c r="F9" t="s">
        <v>341</v>
      </c>
      <c r="G9" s="116">
        <v>25</v>
      </c>
      <c r="H9" s="116" t="s">
        <v>313</v>
      </c>
      <c r="I9" s="116">
        <v>3.45</v>
      </c>
      <c r="J9" s="127">
        <v>45668</v>
      </c>
      <c r="K9" s="132">
        <f>DAYS360(A9,J9,FALSE)</f>
        <v>11</v>
      </c>
      <c r="L9" s="50" t="s">
        <v>41</v>
      </c>
      <c r="M9" s="120">
        <v>631.25</v>
      </c>
    </row>
    <row r="10" spans="1:13" x14ac:dyDescent="0.2">
      <c r="A10" s="111">
        <v>45656</v>
      </c>
      <c r="B10" s="66" t="s">
        <v>81</v>
      </c>
      <c r="C10" t="s">
        <v>129</v>
      </c>
      <c r="D10" s="50" t="str">
        <f>VLOOKUP(C10,'Food Donor Database'!A:B,2,FALSE)</f>
        <v>Retailer</v>
      </c>
      <c r="E10" t="s">
        <v>149</v>
      </c>
      <c r="F10" t="s">
        <v>340</v>
      </c>
      <c r="G10" s="116">
        <v>35</v>
      </c>
      <c r="H10" s="116" t="s">
        <v>308</v>
      </c>
      <c r="I10" s="116">
        <v>3.5</v>
      </c>
      <c r="J10" s="128" t="s">
        <v>444</v>
      </c>
      <c r="K10" s="128" t="s">
        <v>444</v>
      </c>
      <c r="L10" s="50" t="s">
        <v>41</v>
      </c>
      <c r="M10" s="120">
        <v>3491.25</v>
      </c>
    </row>
    <row r="11" spans="1:13" x14ac:dyDescent="0.2">
      <c r="A11" s="111">
        <v>45649</v>
      </c>
      <c r="B11" s="66" t="s">
        <v>81</v>
      </c>
      <c r="C11" t="s">
        <v>304</v>
      </c>
      <c r="D11" s="50" t="str">
        <f>VLOOKUP(C11,'Food Donor Database'!A:B,2,FALSE)</f>
        <v>Food Donation Drive</v>
      </c>
      <c r="E11" t="s">
        <v>15</v>
      </c>
      <c r="F11" t="s">
        <v>346</v>
      </c>
      <c r="G11" s="116">
        <v>10</v>
      </c>
      <c r="H11" s="116" t="s">
        <v>309</v>
      </c>
      <c r="I11" s="116">
        <v>3</v>
      </c>
      <c r="J11" s="127">
        <v>45680</v>
      </c>
      <c r="K11" s="132">
        <f t="shared" ref="K11:K45" si="0">DAYS360(A11,J11,FALSE)</f>
        <v>30</v>
      </c>
      <c r="L11" s="50" t="s">
        <v>41</v>
      </c>
      <c r="M11" s="120">
        <v>0</v>
      </c>
    </row>
    <row r="12" spans="1:13" x14ac:dyDescent="0.2">
      <c r="A12" s="111">
        <v>45649</v>
      </c>
      <c r="B12" s="66" t="s">
        <v>81</v>
      </c>
      <c r="C12" t="s">
        <v>304</v>
      </c>
      <c r="D12" s="50" t="str">
        <f>VLOOKUP(C12,'Food Donor Database'!A:B,2,FALSE)</f>
        <v>Food Donation Drive</v>
      </c>
      <c r="E12" t="s">
        <v>15</v>
      </c>
      <c r="F12" t="s">
        <v>345</v>
      </c>
      <c r="G12" s="116">
        <v>16</v>
      </c>
      <c r="H12" s="116" t="s">
        <v>309</v>
      </c>
      <c r="I12" s="116">
        <v>5.6</v>
      </c>
      <c r="J12" s="127">
        <v>45654</v>
      </c>
      <c r="K12" s="132">
        <f t="shared" si="0"/>
        <v>5</v>
      </c>
      <c r="L12" s="50" t="s">
        <v>41</v>
      </c>
      <c r="M12" s="120">
        <v>0</v>
      </c>
    </row>
    <row r="13" spans="1:13" x14ac:dyDescent="0.2">
      <c r="A13" s="111">
        <v>45645</v>
      </c>
      <c r="B13" s="66" t="s">
        <v>81</v>
      </c>
      <c r="C13" s="155" t="s">
        <v>338</v>
      </c>
      <c r="D13" s="152" t="str">
        <f>VLOOKUP(C13,'Food Donor Database'!A:B,2,FALSE)</f>
        <v>Manufacturer/Processor</v>
      </c>
      <c r="E13" t="s">
        <v>13</v>
      </c>
      <c r="F13" t="s">
        <v>347</v>
      </c>
      <c r="G13" s="116">
        <v>434</v>
      </c>
      <c r="H13" s="116" t="s">
        <v>308</v>
      </c>
      <c r="I13" s="116">
        <v>6510</v>
      </c>
      <c r="J13" s="127">
        <v>45654</v>
      </c>
      <c r="K13" s="132">
        <f t="shared" si="0"/>
        <v>9</v>
      </c>
      <c r="L13" s="50" t="s">
        <v>41</v>
      </c>
      <c r="M13" s="120">
        <v>0</v>
      </c>
    </row>
    <row r="14" spans="1:13" x14ac:dyDescent="0.2">
      <c r="A14" s="111">
        <v>45635</v>
      </c>
      <c r="B14" s="66" t="s">
        <v>81</v>
      </c>
      <c r="C14" s="155" t="s">
        <v>338</v>
      </c>
      <c r="D14" s="152" t="str">
        <f>VLOOKUP(C14,'Food Donor Database'!A:B,2,FALSE)</f>
        <v>Manufacturer/Processor</v>
      </c>
      <c r="E14" t="s">
        <v>13</v>
      </c>
      <c r="F14" t="s">
        <v>350</v>
      </c>
      <c r="G14" s="116">
        <v>20</v>
      </c>
      <c r="H14" s="116" t="s">
        <v>442</v>
      </c>
      <c r="I14" s="116">
        <v>260</v>
      </c>
      <c r="J14" s="127">
        <v>45652</v>
      </c>
      <c r="K14" s="132">
        <f t="shared" si="0"/>
        <v>17</v>
      </c>
      <c r="L14" s="50" t="s">
        <v>41</v>
      </c>
      <c r="M14" s="120">
        <v>0</v>
      </c>
    </row>
    <row r="15" spans="1:13" x14ac:dyDescent="0.2">
      <c r="A15" s="111">
        <v>45632</v>
      </c>
      <c r="B15" s="66" t="s">
        <v>81</v>
      </c>
      <c r="C15" t="s">
        <v>129</v>
      </c>
      <c r="D15" s="50" t="str">
        <f>VLOOKUP(C15,'Food Donor Database'!A:B,2,FALSE)</f>
        <v>Retailer</v>
      </c>
      <c r="E15" t="s">
        <v>15</v>
      </c>
      <c r="F15" t="s">
        <v>352</v>
      </c>
      <c r="G15" s="116">
        <v>11</v>
      </c>
      <c r="H15" s="116" t="s">
        <v>309</v>
      </c>
      <c r="I15" s="116">
        <v>1.65</v>
      </c>
      <c r="J15" s="127">
        <v>45639</v>
      </c>
      <c r="K15" s="132">
        <f t="shared" si="0"/>
        <v>7</v>
      </c>
      <c r="L15" s="50" t="s">
        <v>41</v>
      </c>
      <c r="M15" s="120">
        <v>803</v>
      </c>
    </row>
    <row r="16" spans="1:13" x14ac:dyDescent="0.2">
      <c r="A16" s="111">
        <v>45632</v>
      </c>
      <c r="B16" s="66" t="s">
        <v>81</v>
      </c>
      <c r="C16" t="s">
        <v>129</v>
      </c>
      <c r="D16" s="50" t="str">
        <f>VLOOKUP(C16,'Food Donor Database'!A:B,2,FALSE)</f>
        <v>Retailer</v>
      </c>
      <c r="E16" t="s">
        <v>20</v>
      </c>
      <c r="F16" t="s">
        <v>327</v>
      </c>
      <c r="G16" s="116">
        <v>164</v>
      </c>
      <c r="H16" s="116" t="s">
        <v>313</v>
      </c>
      <c r="I16" s="116">
        <v>6.35</v>
      </c>
      <c r="J16" s="127">
        <v>45639</v>
      </c>
      <c r="K16" s="132">
        <f t="shared" si="0"/>
        <v>7</v>
      </c>
      <c r="L16" s="50" t="s">
        <v>41</v>
      </c>
      <c r="M16" s="120">
        <v>1394</v>
      </c>
    </row>
    <row r="17" spans="1:13" x14ac:dyDescent="0.2">
      <c r="A17" s="111">
        <v>45632</v>
      </c>
      <c r="B17" s="66" t="s">
        <v>81</v>
      </c>
      <c r="C17" t="s">
        <v>129</v>
      </c>
      <c r="D17" s="50" t="str">
        <f>VLOOKUP(C17,'Food Donor Database'!A:B,2,FALSE)</f>
        <v>Retailer</v>
      </c>
      <c r="E17" t="s">
        <v>20</v>
      </c>
      <c r="F17" t="s">
        <v>353</v>
      </c>
      <c r="G17" s="116">
        <v>139</v>
      </c>
      <c r="H17" s="116" t="s">
        <v>313</v>
      </c>
      <c r="I17" s="116">
        <v>4.5999999999999996</v>
      </c>
      <c r="J17" s="127">
        <v>45639</v>
      </c>
      <c r="K17" s="132">
        <f t="shared" si="0"/>
        <v>7</v>
      </c>
      <c r="L17" s="50" t="s">
        <v>41</v>
      </c>
      <c r="M17" s="120">
        <v>973</v>
      </c>
    </row>
    <row r="18" spans="1:13" x14ac:dyDescent="0.2">
      <c r="A18" s="111">
        <v>45632</v>
      </c>
      <c r="B18" s="66" t="s">
        <v>81</v>
      </c>
      <c r="C18" t="s">
        <v>129</v>
      </c>
      <c r="D18" s="50" t="str">
        <f>VLOOKUP(C18,'Food Donor Database'!A:B,2,FALSE)</f>
        <v>Retailer</v>
      </c>
      <c r="E18" t="s">
        <v>14</v>
      </c>
      <c r="F18" t="s">
        <v>351</v>
      </c>
      <c r="G18" s="116">
        <v>11</v>
      </c>
      <c r="H18" s="116" t="s">
        <v>308</v>
      </c>
      <c r="I18" s="116">
        <v>3.3</v>
      </c>
      <c r="J18" s="127">
        <v>45641</v>
      </c>
      <c r="K18" s="132">
        <f t="shared" si="0"/>
        <v>9</v>
      </c>
      <c r="L18" s="50" t="s">
        <v>41</v>
      </c>
      <c r="M18" s="120">
        <v>1848</v>
      </c>
    </row>
    <row r="19" spans="1:13" x14ac:dyDescent="0.2">
      <c r="A19" s="111">
        <v>45632</v>
      </c>
      <c r="B19" s="66" t="s">
        <v>81</v>
      </c>
      <c r="C19" t="s">
        <v>129</v>
      </c>
      <c r="D19" s="50" t="str">
        <f>VLOOKUP(C19,'Food Donor Database'!A:B,2,FALSE)</f>
        <v>Retailer</v>
      </c>
      <c r="E19" t="s">
        <v>13</v>
      </c>
      <c r="F19" t="s">
        <v>356</v>
      </c>
      <c r="G19" s="116">
        <v>3</v>
      </c>
      <c r="H19" s="116" t="s">
        <v>309</v>
      </c>
      <c r="I19" s="116">
        <v>0.75</v>
      </c>
      <c r="J19" s="127">
        <v>45641</v>
      </c>
      <c r="K19" s="132">
        <f t="shared" si="0"/>
        <v>9</v>
      </c>
      <c r="L19" s="50" t="s">
        <v>41</v>
      </c>
      <c r="M19" s="120">
        <v>939</v>
      </c>
    </row>
    <row r="20" spans="1:13" x14ac:dyDescent="0.2">
      <c r="A20" s="111">
        <v>45632</v>
      </c>
      <c r="B20" s="66" t="s">
        <v>81</v>
      </c>
      <c r="C20" t="s">
        <v>129</v>
      </c>
      <c r="D20" s="50" t="str">
        <f>VLOOKUP(C20,'Food Donor Database'!A:B,2,FALSE)</f>
        <v>Retailer</v>
      </c>
      <c r="E20" t="s">
        <v>13</v>
      </c>
      <c r="F20" t="s">
        <v>355</v>
      </c>
      <c r="G20" s="116">
        <v>1</v>
      </c>
      <c r="H20" s="116" t="s">
        <v>309</v>
      </c>
      <c r="I20" s="116">
        <v>0.5</v>
      </c>
      <c r="J20" s="127">
        <v>45643</v>
      </c>
      <c r="K20" s="132">
        <f t="shared" si="0"/>
        <v>11</v>
      </c>
      <c r="L20" s="50" t="s">
        <v>41</v>
      </c>
      <c r="M20" s="120">
        <v>670</v>
      </c>
    </row>
    <row r="21" spans="1:13" x14ac:dyDescent="0.2">
      <c r="A21" s="111">
        <v>45632</v>
      </c>
      <c r="B21" s="66" t="s">
        <v>81</v>
      </c>
      <c r="C21" t="s">
        <v>129</v>
      </c>
      <c r="D21" s="50" t="str">
        <f>VLOOKUP(C21,'Food Donor Database'!A:B,2,FALSE)</f>
        <v>Retailer</v>
      </c>
      <c r="E21" t="s">
        <v>20</v>
      </c>
      <c r="F21" t="s">
        <v>354</v>
      </c>
      <c r="G21" s="116">
        <v>1</v>
      </c>
      <c r="H21" s="116" t="s">
        <v>312</v>
      </c>
      <c r="I21" s="116">
        <v>0.5</v>
      </c>
      <c r="J21" s="127">
        <v>45645</v>
      </c>
      <c r="K21" s="132">
        <f t="shared" si="0"/>
        <v>13</v>
      </c>
      <c r="L21" s="50" t="s">
        <v>41</v>
      </c>
      <c r="M21" s="120">
        <v>160</v>
      </c>
    </row>
    <row r="22" spans="1:13" x14ac:dyDescent="0.2">
      <c r="A22" s="111">
        <v>45632</v>
      </c>
      <c r="B22" s="66" t="s">
        <v>81</v>
      </c>
      <c r="C22" t="s">
        <v>129</v>
      </c>
      <c r="D22" s="50" t="str">
        <f>VLOOKUP(C22,'Food Donor Database'!A:B,2,FALSE)</f>
        <v>Retailer</v>
      </c>
      <c r="E22" t="s">
        <v>20</v>
      </c>
      <c r="F22" t="s">
        <v>362</v>
      </c>
      <c r="G22" s="116">
        <v>13</v>
      </c>
      <c r="H22" s="116" t="s">
        <v>313</v>
      </c>
      <c r="I22" s="116">
        <v>1.3</v>
      </c>
      <c r="J22" s="127">
        <v>45637</v>
      </c>
      <c r="K22" s="132">
        <f t="shared" si="0"/>
        <v>5</v>
      </c>
      <c r="L22" s="50" t="s">
        <v>41</v>
      </c>
      <c r="M22" s="120">
        <v>1365</v>
      </c>
    </row>
    <row r="23" spans="1:13" x14ac:dyDescent="0.2">
      <c r="A23" s="111">
        <v>45632</v>
      </c>
      <c r="B23" s="66" t="s">
        <v>81</v>
      </c>
      <c r="C23" t="s">
        <v>129</v>
      </c>
      <c r="D23" s="50" t="str">
        <f>VLOOKUP(C23,'Food Donor Database'!A:B,2,FALSE)</f>
        <v>Retailer</v>
      </c>
      <c r="E23" t="s">
        <v>20</v>
      </c>
      <c r="F23" t="s">
        <v>366</v>
      </c>
      <c r="G23" s="116">
        <v>1</v>
      </c>
      <c r="H23" s="116" t="s">
        <v>308</v>
      </c>
      <c r="I23" s="116">
        <v>1.55</v>
      </c>
      <c r="J23" s="127">
        <v>45637</v>
      </c>
      <c r="K23" s="132">
        <f t="shared" si="0"/>
        <v>5</v>
      </c>
      <c r="L23" s="50" t="s">
        <v>41</v>
      </c>
      <c r="M23" s="120">
        <v>1105</v>
      </c>
    </row>
    <row r="24" spans="1:13" x14ac:dyDescent="0.2">
      <c r="A24" s="111">
        <v>45632</v>
      </c>
      <c r="B24" s="66" t="s">
        <v>81</v>
      </c>
      <c r="C24" t="s">
        <v>129</v>
      </c>
      <c r="D24" s="50" t="str">
        <f>VLOOKUP(C24,'Food Donor Database'!A:B,2,FALSE)</f>
        <v>Retailer</v>
      </c>
      <c r="E24" t="s">
        <v>20</v>
      </c>
      <c r="F24" t="s">
        <v>371</v>
      </c>
      <c r="G24" s="116">
        <v>3</v>
      </c>
      <c r="H24" s="116" t="s">
        <v>309</v>
      </c>
      <c r="I24" s="116">
        <v>1.35</v>
      </c>
      <c r="J24" s="127">
        <v>45637</v>
      </c>
      <c r="K24" s="132">
        <f t="shared" si="0"/>
        <v>5</v>
      </c>
      <c r="L24" s="50" t="s">
        <v>41</v>
      </c>
      <c r="M24" s="120">
        <v>477</v>
      </c>
    </row>
    <row r="25" spans="1:13" x14ac:dyDescent="0.2">
      <c r="A25" s="111">
        <v>45632</v>
      </c>
      <c r="B25" s="66" t="s">
        <v>81</v>
      </c>
      <c r="C25" t="s">
        <v>129</v>
      </c>
      <c r="D25" s="50" t="str">
        <f>VLOOKUP(C25,'Food Donor Database'!A:B,2,FALSE)</f>
        <v>Retailer</v>
      </c>
      <c r="E25" t="s">
        <v>20</v>
      </c>
      <c r="F25" t="s">
        <v>373</v>
      </c>
      <c r="G25" s="116">
        <v>9</v>
      </c>
      <c r="H25" s="116" t="s">
        <v>313</v>
      </c>
      <c r="I25" s="116">
        <v>0.9</v>
      </c>
      <c r="J25" s="127">
        <v>45637</v>
      </c>
      <c r="K25" s="132">
        <f t="shared" si="0"/>
        <v>5</v>
      </c>
      <c r="L25" s="50" t="s">
        <v>41</v>
      </c>
      <c r="M25" s="120">
        <v>409.5</v>
      </c>
    </row>
    <row r="26" spans="1:13" x14ac:dyDescent="0.2">
      <c r="A26" s="111">
        <v>45632</v>
      </c>
      <c r="B26" s="66" t="s">
        <v>81</v>
      </c>
      <c r="C26" t="s">
        <v>129</v>
      </c>
      <c r="D26" s="50" t="str">
        <f>VLOOKUP(C26,'Food Donor Database'!A:B,2,FALSE)</f>
        <v>Retailer</v>
      </c>
      <c r="E26" t="s">
        <v>21</v>
      </c>
      <c r="F26" t="s">
        <v>375</v>
      </c>
      <c r="G26" s="116">
        <v>2</v>
      </c>
      <c r="H26" s="116" t="s">
        <v>308</v>
      </c>
      <c r="I26" s="116">
        <v>1.2</v>
      </c>
      <c r="J26" s="127">
        <v>45637</v>
      </c>
      <c r="K26" s="132">
        <f t="shared" si="0"/>
        <v>5</v>
      </c>
      <c r="L26" s="50" t="s">
        <v>41</v>
      </c>
      <c r="M26" s="120">
        <v>308</v>
      </c>
    </row>
    <row r="27" spans="1:13" x14ac:dyDescent="0.2">
      <c r="A27" s="111">
        <v>45632</v>
      </c>
      <c r="B27" s="66" t="s">
        <v>81</v>
      </c>
      <c r="C27" t="s">
        <v>129</v>
      </c>
      <c r="D27" s="50" t="str">
        <f>VLOOKUP(C27,'Food Donor Database'!A:B,2,FALSE)</f>
        <v>Retailer</v>
      </c>
      <c r="E27" t="s">
        <v>20</v>
      </c>
      <c r="F27" t="s">
        <v>376</v>
      </c>
      <c r="G27" s="116">
        <v>25</v>
      </c>
      <c r="H27" s="116" t="s">
        <v>309</v>
      </c>
      <c r="I27" s="116">
        <v>1.25</v>
      </c>
      <c r="J27" s="127">
        <v>45637</v>
      </c>
      <c r="K27" s="132">
        <f t="shared" si="0"/>
        <v>5</v>
      </c>
      <c r="L27" s="50" t="s">
        <v>41</v>
      </c>
      <c r="M27" s="120">
        <v>2086.25</v>
      </c>
    </row>
    <row r="28" spans="1:13" x14ac:dyDescent="0.2">
      <c r="A28" s="111">
        <v>45632</v>
      </c>
      <c r="B28" s="66" t="s">
        <v>81</v>
      </c>
      <c r="C28" t="s">
        <v>129</v>
      </c>
      <c r="D28" s="50" t="str">
        <f>VLOOKUP(C28,'Food Donor Database'!A:B,2,FALSE)</f>
        <v>Retailer</v>
      </c>
      <c r="E28" t="s">
        <v>20</v>
      </c>
      <c r="F28" t="s">
        <v>365</v>
      </c>
      <c r="G28" s="116">
        <v>7</v>
      </c>
      <c r="H28" s="116" t="s">
        <v>313</v>
      </c>
      <c r="I28" s="116">
        <v>1.05</v>
      </c>
      <c r="J28" s="127">
        <v>45638</v>
      </c>
      <c r="K28" s="132">
        <f t="shared" si="0"/>
        <v>6</v>
      </c>
      <c r="L28" s="50" t="s">
        <v>41</v>
      </c>
      <c r="M28" s="120">
        <v>136.5</v>
      </c>
    </row>
    <row r="29" spans="1:13" x14ac:dyDescent="0.2">
      <c r="A29" s="111">
        <v>45632</v>
      </c>
      <c r="B29" s="66" t="s">
        <v>81</v>
      </c>
      <c r="C29" t="s">
        <v>129</v>
      </c>
      <c r="D29" s="50" t="str">
        <f>VLOOKUP(C29,'Food Donor Database'!A:B,2,FALSE)</f>
        <v>Retailer</v>
      </c>
      <c r="E29" t="s">
        <v>20</v>
      </c>
      <c r="F29" t="s">
        <v>367</v>
      </c>
      <c r="G29" s="116">
        <v>7</v>
      </c>
      <c r="H29" s="116" t="s">
        <v>313</v>
      </c>
      <c r="I29" s="116">
        <v>1.75</v>
      </c>
      <c r="J29" s="127">
        <v>45638</v>
      </c>
      <c r="K29" s="132">
        <f t="shared" si="0"/>
        <v>6</v>
      </c>
      <c r="L29" s="50" t="s">
        <v>41</v>
      </c>
      <c r="M29" s="120">
        <v>820</v>
      </c>
    </row>
    <row r="30" spans="1:13" x14ac:dyDescent="0.2">
      <c r="A30" s="111">
        <v>45632</v>
      </c>
      <c r="B30" s="66" t="s">
        <v>81</v>
      </c>
      <c r="C30" t="s">
        <v>129</v>
      </c>
      <c r="D30" s="50" t="str">
        <f>VLOOKUP(C30,'Food Donor Database'!A:B,2,FALSE)</f>
        <v>Retailer</v>
      </c>
      <c r="E30" t="s">
        <v>17</v>
      </c>
      <c r="F30" t="s">
        <v>370</v>
      </c>
      <c r="G30" s="116">
        <v>10</v>
      </c>
      <c r="H30" s="116" t="s">
        <v>313</v>
      </c>
      <c r="I30" s="116">
        <v>6</v>
      </c>
      <c r="J30" s="127">
        <v>45638</v>
      </c>
      <c r="K30" s="132">
        <f t="shared" si="0"/>
        <v>6</v>
      </c>
      <c r="L30" s="50" t="s">
        <v>41</v>
      </c>
      <c r="M30" s="120">
        <v>3275</v>
      </c>
    </row>
    <row r="31" spans="1:13" x14ac:dyDescent="0.2">
      <c r="A31" s="111">
        <v>45632</v>
      </c>
      <c r="B31" s="66" t="s">
        <v>81</v>
      </c>
      <c r="C31" t="s">
        <v>129</v>
      </c>
      <c r="D31" s="50" t="str">
        <f>VLOOKUP(C31,'Food Donor Database'!A:B,2,FALSE)</f>
        <v>Retailer</v>
      </c>
      <c r="E31" t="s">
        <v>20</v>
      </c>
      <c r="F31" t="s">
        <v>368</v>
      </c>
      <c r="G31" s="116">
        <v>18</v>
      </c>
      <c r="H31" s="116" t="s">
        <v>308</v>
      </c>
      <c r="I31" s="116">
        <v>5.4</v>
      </c>
      <c r="J31" s="127">
        <v>45639</v>
      </c>
      <c r="K31" s="132">
        <f t="shared" si="0"/>
        <v>7</v>
      </c>
      <c r="L31" s="50" t="s">
        <v>41</v>
      </c>
      <c r="M31" s="120">
        <v>1044</v>
      </c>
    </row>
    <row r="32" spans="1:13" x14ac:dyDescent="0.2">
      <c r="A32" s="111">
        <v>45632</v>
      </c>
      <c r="B32" s="66" t="s">
        <v>81</v>
      </c>
      <c r="C32" t="s">
        <v>129</v>
      </c>
      <c r="D32" s="50" t="str">
        <f>VLOOKUP(C32,'Food Donor Database'!A:B,2,FALSE)</f>
        <v>Retailer</v>
      </c>
      <c r="E32" t="s">
        <v>13</v>
      </c>
      <c r="F32" t="s">
        <v>358</v>
      </c>
      <c r="G32" s="116">
        <v>12</v>
      </c>
      <c r="H32" s="116" t="s">
        <v>309</v>
      </c>
      <c r="I32" s="116">
        <v>5.85</v>
      </c>
      <c r="J32" s="127">
        <v>45640</v>
      </c>
      <c r="K32" s="132">
        <f t="shared" si="0"/>
        <v>8</v>
      </c>
      <c r="L32" s="50" t="s">
        <v>41</v>
      </c>
      <c r="M32" s="120">
        <v>10147.200000000001</v>
      </c>
    </row>
    <row r="33" spans="1:13" x14ac:dyDescent="0.2">
      <c r="A33" s="111">
        <v>45632</v>
      </c>
      <c r="B33" s="66" t="s">
        <v>81</v>
      </c>
      <c r="C33" t="s">
        <v>129</v>
      </c>
      <c r="D33" s="50" t="str">
        <f>VLOOKUP(C33,'Food Donor Database'!A:B,2,FALSE)</f>
        <v>Retailer</v>
      </c>
      <c r="E33" t="s">
        <v>25</v>
      </c>
      <c r="F33" t="s">
        <v>379</v>
      </c>
      <c r="G33" s="116">
        <v>11</v>
      </c>
      <c r="H33" s="116" t="s">
        <v>308</v>
      </c>
      <c r="I33" s="116">
        <v>1.1000000000000001</v>
      </c>
      <c r="J33" s="127">
        <v>45640</v>
      </c>
      <c r="K33" s="132">
        <f t="shared" si="0"/>
        <v>8</v>
      </c>
      <c r="L33" s="50" t="s">
        <v>41</v>
      </c>
      <c r="M33" s="120">
        <v>599.5</v>
      </c>
    </row>
    <row r="34" spans="1:13" x14ac:dyDescent="0.2">
      <c r="A34" s="111">
        <v>45632</v>
      </c>
      <c r="B34" s="66" t="s">
        <v>81</v>
      </c>
      <c r="C34" t="s">
        <v>129</v>
      </c>
      <c r="D34" s="50" t="str">
        <f>VLOOKUP(C34,'Food Donor Database'!A:B,2,FALSE)</f>
        <v>Retailer</v>
      </c>
      <c r="E34" t="s">
        <v>13</v>
      </c>
      <c r="F34" t="s">
        <v>357</v>
      </c>
      <c r="G34" s="116">
        <v>9</v>
      </c>
      <c r="H34" s="116" t="s">
        <v>309</v>
      </c>
      <c r="I34" s="116">
        <v>4.5</v>
      </c>
      <c r="J34" s="127">
        <v>45641</v>
      </c>
      <c r="K34" s="132">
        <f t="shared" si="0"/>
        <v>9</v>
      </c>
      <c r="L34" s="50" t="s">
        <v>41</v>
      </c>
      <c r="M34" s="120">
        <v>5445</v>
      </c>
    </row>
    <row r="35" spans="1:13" x14ac:dyDescent="0.2">
      <c r="A35" s="111">
        <v>45632</v>
      </c>
      <c r="B35" s="66" t="s">
        <v>81</v>
      </c>
      <c r="C35" t="s">
        <v>129</v>
      </c>
      <c r="D35" s="50" t="str">
        <f>VLOOKUP(C35,'Food Donor Database'!A:B,2,FALSE)</f>
        <v>Retailer</v>
      </c>
      <c r="E35" t="s">
        <v>13</v>
      </c>
      <c r="F35" t="s">
        <v>361</v>
      </c>
      <c r="G35" s="116">
        <v>5</v>
      </c>
      <c r="H35" s="116" t="s">
        <v>308</v>
      </c>
      <c r="I35" s="116">
        <v>1.95</v>
      </c>
      <c r="J35" s="127">
        <v>45642</v>
      </c>
      <c r="K35" s="132">
        <f t="shared" si="0"/>
        <v>10</v>
      </c>
      <c r="L35" s="50" t="s">
        <v>41</v>
      </c>
      <c r="M35" s="120">
        <v>1275</v>
      </c>
    </row>
    <row r="36" spans="1:13" x14ac:dyDescent="0.2">
      <c r="A36" s="111">
        <v>45632</v>
      </c>
      <c r="B36" s="66" t="s">
        <v>81</v>
      </c>
      <c r="C36" t="s">
        <v>129</v>
      </c>
      <c r="D36" s="50" t="str">
        <f>VLOOKUP(C36,'Food Donor Database'!A:B,2,FALSE)</f>
        <v>Retailer</v>
      </c>
      <c r="E36" t="s">
        <v>20</v>
      </c>
      <c r="F36" t="s">
        <v>359</v>
      </c>
      <c r="G36" s="116">
        <v>1</v>
      </c>
      <c r="H36" s="116" t="s">
        <v>308</v>
      </c>
      <c r="I36" s="116">
        <v>0.25</v>
      </c>
      <c r="J36" s="127">
        <v>45646</v>
      </c>
      <c r="K36" s="132">
        <f t="shared" si="0"/>
        <v>14</v>
      </c>
      <c r="L36" s="50" t="s">
        <v>41</v>
      </c>
      <c r="M36" s="120">
        <v>50.4</v>
      </c>
    </row>
    <row r="37" spans="1:13" x14ac:dyDescent="0.2">
      <c r="A37" s="111">
        <v>45632</v>
      </c>
      <c r="B37" s="66" t="s">
        <v>81</v>
      </c>
      <c r="C37" t="s">
        <v>129</v>
      </c>
      <c r="D37" s="50" t="str">
        <f>VLOOKUP(C37,'Food Donor Database'!A:B,2,FALSE)</f>
        <v>Retailer</v>
      </c>
      <c r="E37" t="s">
        <v>16</v>
      </c>
      <c r="F37" t="s">
        <v>360</v>
      </c>
      <c r="G37" s="116">
        <v>6</v>
      </c>
      <c r="H37" s="116" t="s">
        <v>308</v>
      </c>
      <c r="I37" s="116">
        <v>1.25</v>
      </c>
      <c r="J37" s="127">
        <v>45646</v>
      </c>
      <c r="K37" s="132">
        <f t="shared" si="0"/>
        <v>14</v>
      </c>
      <c r="L37" s="50" t="s">
        <v>41</v>
      </c>
      <c r="M37" s="120">
        <v>249</v>
      </c>
    </row>
    <row r="38" spans="1:13" x14ac:dyDescent="0.2">
      <c r="A38" s="111">
        <v>45632</v>
      </c>
      <c r="B38" s="66" t="s">
        <v>81</v>
      </c>
      <c r="C38" t="s">
        <v>129</v>
      </c>
      <c r="D38" s="50" t="str">
        <f>VLOOKUP(C38,'Food Donor Database'!A:B,2,FALSE)</f>
        <v>Retailer</v>
      </c>
      <c r="E38" t="s">
        <v>14</v>
      </c>
      <c r="F38" t="s">
        <v>374</v>
      </c>
      <c r="G38" s="116">
        <v>3</v>
      </c>
      <c r="H38" s="116" t="s">
        <v>313</v>
      </c>
      <c r="I38" s="116">
        <v>0.3</v>
      </c>
      <c r="J38" s="127">
        <v>45646</v>
      </c>
      <c r="K38" s="132">
        <f t="shared" si="0"/>
        <v>14</v>
      </c>
      <c r="L38" s="50" t="s">
        <v>41</v>
      </c>
      <c r="M38" s="120">
        <v>126</v>
      </c>
    </row>
    <row r="39" spans="1:13" x14ac:dyDescent="0.2">
      <c r="A39" s="111">
        <v>45632</v>
      </c>
      <c r="B39" s="66" t="s">
        <v>81</v>
      </c>
      <c r="C39" t="s">
        <v>129</v>
      </c>
      <c r="D39" s="50" t="str">
        <f>VLOOKUP(C39,'Food Donor Database'!A:B,2,FALSE)</f>
        <v>Retailer</v>
      </c>
      <c r="E39" t="s">
        <v>25</v>
      </c>
      <c r="F39" t="s">
        <v>378</v>
      </c>
      <c r="G39" s="116">
        <v>14</v>
      </c>
      <c r="H39" s="116" t="s">
        <v>308</v>
      </c>
      <c r="I39" s="116">
        <v>1.4</v>
      </c>
      <c r="J39" s="127">
        <v>45646</v>
      </c>
      <c r="K39" s="132">
        <f t="shared" si="0"/>
        <v>14</v>
      </c>
      <c r="L39" s="50" t="s">
        <v>41</v>
      </c>
      <c r="M39" s="120">
        <v>1165.5</v>
      </c>
    </row>
    <row r="40" spans="1:13" x14ac:dyDescent="0.2">
      <c r="A40" s="111">
        <v>45632</v>
      </c>
      <c r="B40" s="66" t="s">
        <v>81</v>
      </c>
      <c r="C40" t="s">
        <v>129</v>
      </c>
      <c r="D40" s="50" t="str">
        <f>VLOOKUP(C40,'Food Donor Database'!A:B,2,FALSE)</f>
        <v>Retailer</v>
      </c>
      <c r="E40" t="s">
        <v>15</v>
      </c>
      <c r="F40" t="s">
        <v>363</v>
      </c>
      <c r="G40" s="116">
        <v>3</v>
      </c>
      <c r="H40" s="116" t="s">
        <v>312</v>
      </c>
      <c r="I40" s="116">
        <v>0.55000000000000004</v>
      </c>
      <c r="J40" s="127">
        <v>45647</v>
      </c>
      <c r="K40" s="132">
        <f t="shared" si="0"/>
        <v>15</v>
      </c>
      <c r="L40" s="50" t="s">
        <v>41</v>
      </c>
      <c r="M40" s="120">
        <v>533.25</v>
      </c>
    </row>
    <row r="41" spans="1:13" x14ac:dyDescent="0.2">
      <c r="A41" s="111">
        <v>45632</v>
      </c>
      <c r="B41" s="66" t="s">
        <v>81</v>
      </c>
      <c r="C41" t="s">
        <v>129</v>
      </c>
      <c r="D41" s="50" t="str">
        <f>VLOOKUP(C41,'Food Donor Database'!A:B,2,FALSE)</f>
        <v>Retailer</v>
      </c>
      <c r="E41" t="s">
        <v>20</v>
      </c>
      <c r="F41" t="s">
        <v>364</v>
      </c>
      <c r="G41" s="116">
        <v>84</v>
      </c>
      <c r="H41" s="116" t="s">
        <v>313</v>
      </c>
      <c r="I41" s="116">
        <v>16.8</v>
      </c>
      <c r="J41" s="127">
        <v>45647</v>
      </c>
      <c r="K41" s="132">
        <f t="shared" si="0"/>
        <v>15</v>
      </c>
      <c r="L41" s="50" t="s">
        <v>41</v>
      </c>
      <c r="M41" s="120">
        <v>3553.2</v>
      </c>
    </row>
    <row r="42" spans="1:13" x14ac:dyDescent="0.2">
      <c r="A42" s="111">
        <v>45632</v>
      </c>
      <c r="B42" s="66" t="s">
        <v>81</v>
      </c>
      <c r="C42" t="s">
        <v>129</v>
      </c>
      <c r="D42" s="50" t="str">
        <f>VLOOKUP(C42,'Food Donor Database'!A:B,2,FALSE)</f>
        <v>Retailer</v>
      </c>
      <c r="E42" t="s">
        <v>14</v>
      </c>
      <c r="F42" t="s">
        <v>369</v>
      </c>
      <c r="G42" s="116">
        <v>37</v>
      </c>
      <c r="H42" s="116" t="s">
        <v>310</v>
      </c>
      <c r="I42" s="116">
        <v>3.7</v>
      </c>
      <c r="J42" s="127">
        <v>45647</v>
      </c>
      <c r="K42" s="132">
        <f t="shared" si="0"/>
        <v>15</v>
      </c>
      <c r="L42" s="50" t="s">
        <v>41</v>
      </c>
      <c r="M42" s="120">
        <v>860.25</v>
      </c>
    </row>
    <row r="43" spans="1:13" x14ac:dyDescent="0.2">
      <c r="A43" s="111">
        <v>45632</v>
      </c>
      <c r="B43" s="66" t="s">
        <v>81</v>
      </c>
      <c r="C43" t="s">
        <v>129</v>
      </c>
      <c r="D43" s="50" t="str">
        <f>VLOOKUP(C43,'Food Donor Database'!A:B,2,FALSE)</f>
        <v>Retailer</v>
      </c>
      <c r="E43" t="s">
        <v>15</v>
      </c>
      <c r="F43" t="s">
        <v>372</v>
      </c>
      <c r="G43" s="116">
        <v>2</v>
      </c>
      <c r="H43" s="116" t="s">
        <v>312</v>
      </c>
      <c r="I43" s="116">
        <v>1.9</v>
      </c>
      <c r="J43" s="127">
        <v>45647</v>
      </c>
      <c r="K43" s="132">
        <f t="shared" si="0"/>
        <v>15</v>
      </c>
      <c r="L43" s="50" t="s">
        <v>41</v>
      </c>
      <c r="M43" s="120">
        <v>409.5</v>
      </c>
    </row>
    <row r="44" spans="1:13" ht="14.5" customHeight="1" x14ac:dyDescent="0.2">
      <c r="A44" s="111">
        <v>45632</v>
      </c>
      <c r="B44" s="66" t="s">
        <v>81</v>
      </c>
      <c r="C44" t="s">
        <v>129</v>
      </c>
      <c r="D44" s="50" t="str">
        <f>VLOOKUP(C44,'Food Donor Database'!A:B,2,FALSE)</f>
        <v>Retailer</v>
      </c>
      <c r="E44" t="s">
        <v>15</v>
      </c>
      <c r="F44" t="s">
        <v>377</v>
      </c>
      <c r="G44" s="116">
        <v>1</v>
      </c>
      <c r="H44" s="116" t="s">
        <v>309</v>
      </c>
      <c r="I44" s="116">
        <v>0.1</v>
      </c>
      <c r="J44" s="127">
        <v>45647</v>
      </c>
      <c r="K44" s="132">
        <f t="shared" si="0"/>
        <v>15</v>
      </c>
      <c r="L44" s="50" t="s">
        <v>41</v>
      </c>
      <c r="M44" s="120">
        <v>62.25</v>
      </c>
    </row>
    <row r="45" spans="1:13" x14ac:dyDescent="0.2">
      <c r="A45" s="111">
        <v>45632</v>
      </c>
      <c r="B45" s="66" t="s">
        <v>81</v>
      </c>
      <c r="C45" t="s">
        <v>129</v>
      </c>
      <c r="D45" s="50" t="str">
        <f>VLOOKUP(C45,'Food Donor Database'!A:B,2,FALSE)</f>
        <v>Retailer</v>
      </c>
      <c r="E45" t="s">
        <v>15</v>
      </c>
      <c r="F45" t="s">
        <v>380</v>
      </c>
      <c r="G45" s="116">
        <v>66</v>
      </c>
      <c r="H45" s="116" t="s">
        <v>310</v>
      </c>
      <c r="I45" s="116">
        <v>6.8</v>
      </c>
      <c r="J45" s="127">
        <v>45647</v>
      </c>
      <c r="K45" s="132">
        <f t="shared" si="0"/>
        <v>15</v>
      </c>
      <c r="L45" s="50" t="s">
        <v>41</v>
      </c>
      <c r="M45" s="120">
        <v>2079</v>
      </c>
    </row>
    <row r="46" spans="1:13" x14ac:dyDescent="0.2">
      <c r="A46" s="111">
        <v>45631</v>
      </c>
      <c r="B46" s="66" t="s">
        <v>81</v>
      </c>
      <c r="C46" t="s">
        <v>123</v>
      </c>
      <c r="D46" s="50" t="str">
        <f>VLOOKUP(C46,'Food Donor Database'!A:B,2,FALSE)</f>
        <v>Retailer</v>
      </c>
      <c r="E46" t="s">
        <v>168</v>
      </c>
      <c r="F46" t="s">
        <v>381</v>
      </c>
      <c r="G46" s="116">
        <v>1</v>
      </c>
      <c r="H46" s="116" t="s">
        <v>307</v>
      </c>
      <c r="I46" s="116">
        <v>7.2</v>
      </c>
      <c r="J46" s="128" t="s">
        <v>444</v>
      </c>
      <c r="K46" s="128" t="s">
        <v>444</v>
      </c>
      <c r="L46" s="50" t="s">
        <v>41</v>
      </c>
      <c r="M46" s="120">
        <v>0</v>
      </c>
    </row>
    <row r="47" spans="1:13" x14ac:dyDescent="0.2">
      <c r="A47" s="111">
        <v>45631</v>
      </c>
      <c r="B47" s="66" t="s">
        <v>81</v>
      </c>
      <c r="C47" t="s">
        <v>123</v>
      </c>
      <c r="D47" s="50" t="str">
        <f>VLOOKUP(C47,'Food Donor Database'!A:B,2,FALSE)</f>
        <v>Retailer</v>
      </c>
      <c r="E47" t="s">
        <v>16</v>
      </c>
      <c r="F47" t="s">
        <v>382</v>
      </c>
      <c r="G47" s="116">
        <v>1</v>
      </c>
      <c r="H47" s="116" t="s">
        <v>307</v>
      </c>
      <c r="I47" s="116">
        <v>25.1</v>
      </c>
      <c r="J47" s="128" t="s">
        <v>444</v>
      </c>
      <c r="K47" s="128" t="s">
        <v>444</v>
      </c>
      <c r="L47" s="50" t="s">
        <v>41</v>
      </c>
      <c r="M47" s="120">
        <v>0</v>
      </c>
    </row>
    <row r="48" spans="1:13" x14ac:dyDescent="0.2">
      <c r="A48" s="111">
        <v>45631</v>
      </c>
      <c r="B48" s="66" t="s">
        <v>81</v>
      </c>
      <c r="C48" t="s">
        <v>123</v>
      </c>
      <c r="D48" s="50" t="str">
        <f>VLOOKUP(C48,'Food Donor Database'!A:B,2,FALSE)</f>
        <v>Retailer</v>
      </c>
      <c r="E48" t="s">
        <v>16</v>
      </c>
      <c r="F48" t="s">
        <v>382</v>
      </c>
      <c r="G48" s="116">
        <v>1</v>
      </c>
      <c r="H48" s="116" t="s">
        <v>307</v>
      </c>
      <c r="I48" s="116">
        <v>23.15</v>
      </c>
      <c r="J48" s="128" t="s">
        <v>444</v>
      </c>
      <c r="K48" s="128" t="s">
        <v>444</v>
      </c>
      <c r="L48" s="50" t="s">
        <v>41</v>
      </c>
      <c r="M48" s="120">
        <v>0</v>
      </c>
    </row>
    <row r="49" spans="1:13" x14ac:dyDescent="0.2">
      <c r="A49" s="111">
        <v>45631</v>
      </c>
      <c r="B49" s="66" t="s">
        <v>81</v>
      </c>
      <c r="C49" t="s">
        <v>123</v>
      </c>
      <c r="D49" s="50" t="str">
        <f>VLOOKUP(C49,'Food Donor Database'!A:B,2,FALSE)</f>
        <v>Retailer</v>
      </c>
      <c r="E49" t="s">
        <v>16</v>
      </c>
      <c r="F49" t="s">
        <v>386</v>
      </c>
      <c r="G49" s="116">
        <v>1</v>
      </c>
      <c r="H49" s="116" t="s">
        <v>307</v>
      </c>
      <c r="I49" s="116">
        <v>5</v>
      </c>
      <c r="J49" s="128" t="s">
        <v>444</v>
      </c>
      <c r="K49" s="128" t="s">
        <v>444</v>
      </c>
      <c r="L49" s="50" t="s">
        <v>41</v>
      </c>
      <c r="M49" s="120">
        <v>0</v>
      </c>
    </row>
    <row r="50" spans="1:13" x14ac:dyDescent="0.2">
      <c r="A50" s="111">
        <v>45631</v>
      </c>
      <c r="B50" s="66" t="s">
        <v>81</v>
      </c>
      <c r="C50" t="s">
        <v>123</v>
      </c>
      <c r="D50" s="50" t="str">
        <f>VLOOKUP(C50,'Food Donor Database'!A:B,2,FALSE)</f>
        <v>Retailer</v>
      </c>
      <c r="E50" t="s">
        <v>16</v>
      </c>
      <c r="F50" t="s">
        <v>393</v>
      </c>
      <c r="G50" s="116">
        <v>6</v>
      </c>
      <c r="H50" s="116" t="s">
        <v>307</v>
      </c>
      <c r="I50" s="116">
        <v>60</v>
      </c>
      <c r="J50" s="128" t="s">
        <v>444</v>
      </c>
      <c r="K50" s="128" t="s">
        <v>444</v>
      </c>
      <c r="L50" s="50" t="s">
        <v>41</v>
      </c>
      <c r="M50" s="120">
        <v>0</v>
      </c>
    </row>
    <row r="51" spans="1:13" x14ac:dyDescent="0.2">
      <c r="A51" s="111">
        <v>45631</v>
      </c>
      <c r="B51" s="66" t="s">
        <v>81</v>
      </c>
      <c r="C51" t="s">
        <v>123</v>
      </c>
      <c r="D51" s="50" t="str">
        <f>VLOOKUP(C51,'Food Donor Database'!A:B,2,FALSE)</f>
        <v>Retailer</v>
      </c>
      <c r="E51" t="s">
        <v>16</v>
      </c>
      <c r="F51" t="s">
        <v>396</v>
      </c>
      <c r="G51" s="116">
        <v>2</v>
      </c>
      <c r="H51" s="116" t="s">
        <v>307</v>
      </c>
      <c r="I51" s="116">
        <v>20</v>
      </c>
      <c r="J51" s="128">
        <v>45572</v>
      </c>
      <c r="K51" s="133">
        <f t="shared" ref="K51:K70" si="1">DAYS360(A51,J51,FALSE)</f>
        <v>-58</v>
      </c>
      <c r="L51" s="50" t="s">
        <v>41</v>
      </c>
      <c r="M51" s="120">
        <v>0</v>
      </c>
    </row>
    <row r="52" spans="1:13" x14ac:dyDescent="0.2">
      <c r="A52" s="111">
        <v>45631</v>
      </c>
      <c r="B52" s="66" t="s">
        <v>81</v>
      </c>
      <c r="C52" t="s">
        <v>123</v>
      </c>
      <c r="D52" s="50" t="str">
        <f>VLOOKUP(C52,'Food Donor Database'!A:B,2,FALSE)</f>
        <v>Retailer</v>
      </c>
      <c r="E52" t="s">
        <v>16</v>
      </c>
      <c r="F52" t="s">
        <v>395</v>
      </c>
      <c r="G52" s="116">
        <v>1</v>
      </c>
      <c r="H52" s="116" t="s">
        <v>307</v>
      </c>
      <c r="I52" s="116">
        <v>10</v>
      </c>
      <c r="J52" s="128">
        <v>45580</v>
      </c>
      <c r="K52" s="133">
        <f t="shared" si="1"/>
        <v>-50</v>
      </c>
      <c r="L52" s="50" t="s">
        <v>41</v>
      </c>
      <c r="M52" s="120">
        <v>0</v>
      </c>
    </row>
    <row r="53" spans="1:13" x14ac:dyDescent="0.2">
      <c r="A53" s="111">
        <v>45631</v>
      </c>
      <c r="B53" s="66" t="s">
        <v>81</v>
      </c>
      <c r="C53" t="s">
        <v>123</v>
      </c>
      <c r="D53" s="50" t="str">
        <f>VLOOKUP(C53,'Food Donor Database'!A:B,2,FALSE)</f>
        <v>Retailer</v>
      </c>
      <c r="E53" t="s">
        <v>16</v>
      </c>
      <c r="F53" t="s">
        <v>398</v>
      </c>
      <c r="G53" s="116">
        <v>4</v>
      </c>
      <c r="H53" s="116" t="s">
        <v>307</v>
      </c>
      <c r="I53" s="116">
        <v>40</v>
      </c>
      <c r="J53" s="127">
        <v>45724</v>
      </c>
      <c r="K53" s="132">
        <f t="shared" si="1"/>
        <v>93</v>
      </c>
      <c r="L53" s="50" t="s">
        <v>41</v>
      </c>
      <c r="M53" s="120">
        <v>0</v>
      </c>
    </row>
    <row r="54" spans="1:13" x14ac:dyDescent="0.2">
      <c r="A54" s="111">
        <v>45631</v>
      </c>
      <c r="B54" s="66" t="s">
        <v>81</v>
      </c>
      <c r="C54" t="s">
        <v>123</v>
      </c>
      <c r="D54" s="50" t="str">
        <f>VLOOKUP(C54,'Food Donor Database'!A:B,2,FALSE)</f>
        <v>Retailer</v>
      </c>
      <c r="E54" t="s">
        <v>16</v>
      </c>
      <c r="F54" t="s">
        <v>389</v>
      </c>
      <c r="G54" s="116">
        <v>2</v>
      </c>
      <c r="H54" s="116" t="s">
        <v>307</v>
      </c>
      <c r="I54" s="116">
        <v>10</v>
      </c>
      <c r="J54" s="127">
        <v>45727</v>
      </c>
      <c r="K54" s="132">
        <f t="shared" si="1"/>
        <v>96</v>
      </c>
      <c r="L54" s="50" t="s">
        <v>41</v>
      </c>
      <c r="M54" s="120">
        <v>0</v>
      </c>
    </row>
    <row r="55" spans="1:13" x14ac:dyDescent="0.2">
      <c r="A55" s="111">
        <v>45631</v>
      </c>
      <c r="B55" s="66" t="s">
        <v>81</v>
      </c>
      <c r="C55" t="s">
        <v>123</v>
      </c>
      <c r="D55" s="50" t="str">
        <f>VLOOKUP(C55,'Food Donor Database'!A:B,2,FALSE)</f>
        <v>Retailer</v>
      </c>
      <c r="E55" t="s">
        <v>16</v>
      </c>
      <c r="F55" t="s">
        <v>397</v>
      </c>
      <c r="G55" s="116">
        <v>3</v>
      </c>
      <c r="H55" s="116" t="s">
        <v>307</v>
      </c>
      <c r="I55" s="116">
        <v>30</v>
      </c>
      <c r="J55" s="127">
        <v>45769</v>
      </c>
      <c r="K55" s="132">
        <f t="shared" si="1"/>
        <v>137</v>
      </c>
      <c r="L55" s="50" t="s">
        <v>41</v>
      </c>
      <c r="M55" s="120">
        <v>0</v>
      </c>
    </row>
    <row r="56" spans="1:13" x14ac:dyDescent="0.2">
      <c r="A56" s="111">
        <v>45631</v>
      </c>
      <c r="B56" s="66" t="s">
        <v>81</v>
      </c>
      <c r="C56" t="s">
        <v>123</v>
      </c>
      <c r="D56" s="50" t="str">
        <f>VLOOKUP(C56,'Food Donor Database'!A:B,2,FALSE)</f>
        <v>Retailer</v>
      </c>
      <c r="E56" t="s">
        <v>16</v>
      </c>
      <c r="F56" t="s">
        <v>399</v>
      </c>
      <c r="G56" s="116">
        <v>4</v>
      </c>
      <c r="H56" s="116" t="s">
        <v>307</v>
      </c>
      <c r="I56" s="116">
        <v>40</v>
      </c>
      <c r="J56" s="127">
        <v>45778</v>
      </c>
      <c r="K56" s="132">
        <f t="shared" si="1"/>
        <v>146</v>
      </c>
      <c r="L56" s="50" t="s">
        <v>41</v>
      </c>
      <c r="M56" s="120">
        <v>0</v>
      </c>
    </row>
    <row r="57" spans="1:13" x14ac:dyDescent="0.2">
      <c r="A57" s="111">
        <v>45631</v>
      </c>
      <c r="B57" s="66" t="s">
        <v>81</v>
      </c>
      <c r="C57" t="s">
        <v>123</v>
      </c>
      <c r="D57" s="50" t="str">
        <f>VLOOKUP(C57,'Food Donor Database'!A:B,2,FALSE)</f>
        <v>Retailer</v>
      </c>
      <c r="E57" t="s">
        <v>168</v>
      </c>
      <c r="F57" t="s">
        <v>383</v>
      </c>
      <c r="G57" s="116">
        <v>2</v>
      </c>
      <c r="H57" s="116" t="s">
        <v>307</v>
      </c>
      <c r="I57" s="116">
        <v>0.8</v>
      </c>
      <c r="J57" s="127">
        <v>45787</v>
      </c>
      <c r="K57" s="132">
        <f t="shared" si="1"/>
        <v>155</v>
      </c>
      <c r="L57" s="50" t="s">
        <v>41</v>
      </c>
      <c r="M57" s="120">
        <v>0</v>
      </c>
    </row>
    <row r="58" spans="1:13" ht="14.5" customHeight="1" x14ac:dyDescent="0.2">
      <c r="A58" s="111">
        <v>45631</v>
      </c>
      <c r="B58" s="66" t="s">
        <v>81</v>
      </c>
      <c r="C58" t="s">
        <v>123</v>
      </c>
      <c r="D58" s="50" t="str">
        <f>VLOOKUP(C58,'Food Donor Database'!A:B,2,FALSE)</f>
        <v>Retailer</v>
      </c>
      <c r="E58" t="s">
        <v>16</v>
      </c>
      <c r="F58" t="s">
        <v>323</v>
      </c>
      <c r="G58" s="116">
        <v>3</v>
      </c>
      <c r="H58" s="116" t="s">
        <v>307</v>
      </c>
      <c r="I58" s="116">
        <v>30</v>
      </c>
      <c r="J58" s="127">
        <v>45795</v>
      </c>
      <c r="K58" s="132">
        <f t="shared" si="1"/>
        <v>163</v>
      </c>
      <c r="L58" s="50" t="s">
        <v>41</v>
      </c>
      <c r="M58" s="120">
        <v>0</v>
      </c>
    </row>
    <row r="59" spans="1:13" x14ac:dyDescent="0.2">
      <c r="A59" s="111">
        <v>45631</v>
      </c>
      <c r="B59" s="66" t="s">
        <v>81</v>
      </c>
      <c r="C59" t="s">
        <v>123</v>
      </c>
      <c r="D59" s="50" t="str">
        <f>VLOOKUP(C59,'Food Donor Database'!A:B,2,FALSE)</f>
        <v>Retailer</v>
      </c>
      <c r="E59" t="s">
        <v>16</v>
      </c>
      <c r="F59" t="s">
        <v>394</v>
      </c>
      <c r="G59" s="116">
        <v>3</v>
      </c>
      <c r="H59" s="116" t="s">
        <v>307</v>
      </c>
      <c r="I59" s="116">
        <v>30</v>
      </c>
      <c r="J59" s="127">
        <v>45836</v>
      </c>
      <c r="K59" s="132">
        <f t="shared" si="1"/>
        <v>203</v>
      </c>
      <c r="L59" s="50" t="s">
        <v>41</v>
      </c>
      <c r="M59" s="120">
        <v>0</v>
      </c>
    </row>
    <row r="60" spans="1:13" x14ac:dyDescent="0.2">
      <c r="A60" s="111">
        <v>45631</v>
      </c>
      <c r="B60" s="66" t="s">
        <v>81</v>
      </c>
      <c r="C60" t="s">
        <v>123</v>
      </c>
      <c r="D60" s="50" t="str">
        <f>VLOOKUP(C60,'Food Donor Database'!A:B,2,FALSE)</f>
        <v>Retailer</v>
      </c>
      <c r="E60" t="s">
        <v>16</v>
      </c>
      <c r="F60" t="s">
        <v>401</v>
      </c>
      <c r="G60" s="116">
        <v>2</v>
      </c>
      <c r="H60" s="116" t="s">
        <v>307</v>
      </c>
      <c r="I60" s="116">
        <v>20</v>
      </c>
      <c r="J60" s="127">
        <v>45862</v>
      </c>
      <c r="K60" s="132">
        <f t="shared" si="1"/>
        <v>229</v>
      </c>
      <c r="L60" s="50" t="s">
        <v>41</v>
      </c>
      <c r="M60" s="120">
        <v>0</v>
      </c>
    </row>
    <row r="61" spans="1:13" x14ac:dyDescent="0.2">
      <c r="A61" s="111">
        <v>45631</v>
      </c>
      <c r="B61" s="66" t="s">
        <v>81</v>
      </c>
      <c r="C61" t="s">
        <v>123</v>
      </c>
      <c r="D61" s="50" t="str">
        <f>VLOOKUP(C61,'Food Donor Database'!A:B,2,FALSE)</f>
        <v>Retailer</v>
      </c>
      <c r="E61" t="s">
        <v>16</v>
      </c>
      <c r="F61" t="s">
        <v>400</v>
      </c>
      <c r="G61" s="116">
        <v>5</v>
      </c>
      <c r="H61" s="116" t="s">
        <v>307</v>
      </c>
      <c r="I61" s="116" t="s">
        <v>443</v>
      </c>
      <c r="J61" s="127">
        <v>45893</v>
      </c>
      <c r="K61" s="132">
        <f t="shared" si="1"/>
        <v>259</v>
      </c>
      <c r="L61" s="50" t="s">
        <v>41</v>
      </c>
      <c r="M61" s="120">
        <v>0</v>
      </c>
    </row>
    <row r="62" spans="1:13" x14ac:dyDescent="0.2">
      <c r="A62" s="111">
        <v>45631</v>
      </c>
      <c r="B62" s="66" t="s">
        <v>81</v>
      </c>
      <c r="C62" t="s">
        <v>123</v>
      </c>
      <c r="D62" s="50" t="str">
        <f>VLOOKUP(C62,'Food Donor Database'!A:B,2,FALSE)</f>
        <v>Retailer</v>
      </c>
      <c r="E62" t="s">
        <v>16</v>
      </c>
      <c r="F62" t="s">
        <v>388</v>
      </c>
      <c r="G62" s="116">
        <v>7</v>
      </c>
      <c r="H62" s="116" t="s">
        <v>307</v>
      </c>
      <c r="I62" s="116">
        <v>35</v>
      </c>
      <c r="J62" s="127">
        <v>45909</v>
      </c>
      <c r="K62" s="132">
        <f t="shared" si="1"/>
        <v>274</v>
      </c>
      <c r="L62" s="50" t="s">
        <v>41</v>
      </c>
      <c r="M62" s="120">
        <v>0</v>
      </c>
    </row>
    <row r="63" spans="1:13" x14ac:dyDescent="0.2">
      <c r="A63" s="111">
        <v>45631</v>
      </c>
      <c r="B63" s="66" t="s">
        <v>81</v>
      </c>
      <c r="C63" t="s">
        <v>123</v>
      </c>
      <c r="D63" s="50" t="str">
        <f>VLOOKUP(C63,'Food Donor Database'!A:B,2,FALSE)</f>
        <v>Retailer</v>
      </c>
      <c r="E63" t="s">
        <v>16</v>
      </c>
      <c r="F63" t="s">
        <v>387</v>
      </c>
      <c r="G63" s="116">
        <v>1</v>
      </c>
      <c r="H63" s="116" t="s">
        <v>307</v>
      </c>
      <c r="I63" s="116">
        <v>2</v>
      </c>
      <c r="J63" s="127">
        <v>45911</v>
      </c>
      <c r="K63" s="132">
        <f t="shared" si="1"/>
        <v>276</v>
      </c>
      <c r="L63" s="50" t="s">
        <v>41</v>
      </c>
      <c r="M63" s="120">
        <v>0</v>
      </c>
    </row>
    <row r="64" spans="1:13" x14ac:dyDescent="0.2">
      <c r="A64" s="111">
        <v>45631</v>
      </c>
      <c r="B64" s="66" t="s">
        <v>81</v>
      </c>
      <c r="C64" t="s">
        <v>123</v>
      </c>
      <c r="D64" s="50" t="str">
        <f>VLOOKUP(C64,'Food Donor Database'!A:B,2,FALSE)</f>
        <v>Retailer</v>
      </c>
      <c r="E64" t="s">
        <v>16</v>
      </c>
      <c r="F64" t="s">
        <v>390</v>
      </c>
      <c r="G64" s="116">
        <v>2</v>
      </c>
      <c r="H64" s="116" t="s">
        <v>307</v>
      </c>
      <c r="I64" s="116">
        <v>4</v>
      </c>
      <c r="J64" s="127">
        <v>45912</v>
      </c>
      <c r="K64" s="132">
        <f t="shared" si="1"/>
        <v>277</v>
      </c>
      <c r="L64" s="50" t="s">
        <v>41</v>
      </c>
      <c r="M64" s="120">
        <v>0</v>
      </c>
    </row>
    <row r="65" spans="1:13" x14ac:dyDescent="0.2">
      <c r="A65" s="111">
        <v>45631</v>
      </c>
      <c r="B65" s="66" t="s">
        <v>81</v>
      </c>
      <c r="C65" t="s">
        <v>123</v>
      </c>
      <c r="D65" s="50" t="str">
        <f>VLOOKUP(C65,'Food Donor Database'!A:B,2,FALSE)</f>
        <v>Retailer</v>
      </c>
      <c r="E65" t="s">
        <v>16</v>
      </c>
      <c r="F65" t="s">
        <v>392</v>
      </c>
      <c r="G65" s="116">
        <v>5</v>
      </c>
      <c r="H65" s="116" t="s">
        <v>307</v>
      </c>
      <c r="I65" s="116">
        <v>50</v>
      </c>
      <c r="J65" s="127">
        <v>45914</v>
      </c>
      <c r="K65" s="132">
        <f t="shared" si="1"/>
        <v>279</v>
      </c>
      <c r="L65" s="50" t="s">
        <v>41</v>
      </c>
      <c r="M65" s="120">
        <v>0</v>
      </c>
    </row>
    <row r="66" spans="1:13" x14ac:dyDescent="0.2">
      <c r="A66" s="111">
        <v>45631</v>
      </c>
      <c r="B66" s="66" t="s">
        <v>81</v>
      </c>
      <c r="C66" t="s">
        <v>123</v>
      </c>
      <c r="D66" s="50" t="str">
        <f>VLOOKUP(C66,'Food Donor Database'!A:B,2,FALSE)</f>
        <v>Retailer</v>
      </c>
      <c r="E66" t="s">
        <v>16</v>
      </c>
      <c r="F66" t="s">
        <v>391</v>
      </c>
      <c r="G66" s="116">
        <v>11</v>
      </c>
      <c r="H66" s="116" t="s">
        <v>307</v>
      </c>
      <c r="I66" s="116">
        <v>55</v>
      </c>
      <c r="J66" s="127">
        <v>45922</v>
      </c>
      <c r="K66" s="132">
        <f t="shared" si="1"/>
        <v>287</v>
      </c>
      <c r="L66" s="50" t="s">
        <v>41</v>
      </c>
      <c r="M66" s="120">
        <v>0</v>
      </c>
    </row>
    <row r="67" spans="1:13" x14ac:dyDescent="0.2">
      <c r="A67" s="111">
        <v>45631</v>
      </c>
      <c r="B67" s="66" t="s">
        <v>81</v>
      </c>
      <c r="C67" t="s">
        <v>123</v>
      </c>
      <c r="D67" s="50" t="str">
        <f>VLOOKUP(C67,'Food Donor Database'!A:B,2,FALSE)</f>
        <v>Retailer</v>
      </c>
      <c r="E67" t="s">
        <v>16</v>
      </c>
      <c r="F67" t="s">
        <v>322</v>
      </c>
      <c r="G67" s="116">
        <v>2</v>
      </c>
      <c r="H67" s="116" t="s">
        <v>307</v>
      </c>
      <c r="I67" s="116">
        <v>20</v>
      </c>
      <c r="J67" s="127">
        <v>45922</v>
      </c>
      <c r="K67" s="132">
        <f t="shared" si="1"/>
        <v>287</v>
      </c>
      <c r="L67" s="50" t="s">
        <v>41</v>
      </c>
      <c r="M67" s="120">
        <v>0</v>
      </c>
    </row>
    <row r="68" spans="1:13" x14ac:dyDescent="0.2">
      <c r="A68" s="111">
        <v>45631</v>
      </c>
      <c r="B68" s="66" t="s">
        <v>81</v>
      </c>
      <c r="C68" t="s">
        <v>123</v>
      </c>
      <c r="D68" s="50" t="str">
        <f>VLOOKUP(C68,'Food Donor Database'!A:B,2,FALSE)</f>
        <v>Retailer</v>
      </c>
      <c r="E68" t="s">
        <v>168</v>
      </c>
      <c r="F68" t="s">
        <v>384</v>
      </c>
      <c r="G68" s="116">
        <v>2</v>
      </c>
      <c r="H68" s="116" t="s">
        <v>307</v>
      </c>
      <c r="I68" s="116">
        <v>3.6</v>
      </c>
      <c r="J68" s="127">
        <v>46025</v>
      </c>
      <c r="K68" s="132">
        <f t="shared" si="1"/>
        <v>388</v>
      </c>
      <c r="L68" s="50" t="s">
        <v>41</v>
      </c>
      <c r="M68" s="120">
        <v>0</v>
      </c>
    </row>
    <row r="69" spans="1:13" x14ac:dyDescent="0.2">
      <c r="A69" s="111">
        <v>45631</v>
      </c>
      <c r="B69" s="66" t="s">
        <v>81</v>
      </c>
      <c r="C69" t="s">
        <v>123</v>
      </c>
      <c r="D69" s="50" t="str">
        <f>VLOOKUP(C69,'Food Donor Database'!A:B,2,FALSE)</f>
        <v>Retailer</v>
      </c>
      <c r="E69" t="s">
        <v>168</v>
      </c>
      <c r="F69" t="s">
        <v>385</v>
      </c>
      <c r="G69" s="116">
        <v>3</v>
      </c>
      <c r="H69" s="116" t="s">
        <v>307</v>
      </c>
      <c r="I69" s="116">
        <v>15</v>
      </c>
      <c r="J69" s="127">
        <v>46062</v>
      </c>
      <c r="K69" s="132">
        <f t="shared" si="1"/>
        <v>424</v>
      </c>
      <c r="L69" s="50" t="s">
        <v>41</v>
      </c>
      <c r="M69" s="120">
        <v>0</v>
      </c>
    </row>
    <row r="70" spans="1:13" x14ac:dyDescent="0.2">
      <c r="A70" s="111">
        <v>45631</v>
      </c>
      <c r="B70" s="66" t="s">
        <v>81</v>
      </c>
      <c r="C70" t="s">
        <v>123</v>
      </c>
      <c r="D70" s="50" t="str">
        <f>VLOOKUP(C70,'Food Donor Database'!A:B,2,FALSE)</f>
        <v>Retailer</v>
      </c>
      <c r="E70" t="s">
        <v>16</v>
      </c>
      <c r="F70" t="s">
        <v>321</v>
      </c>
      <c r="G70" s="116">
        <v>4</v>
      </c>
      <c r="H70" s="116" t="s">
        <v>307</v>
      </c>
      <c r="I70" s="116">
        <v>40</v>
      </c>
      <c r="J70" s="127">
        <v>46307</v>
      </c>
      <c r="K70" s="132">
        <f t="shared" si="1"/>
        <v>667</v>
      </c>
      <c r="L70" s="50" t="s">
        <v>41</v>
      </c>
      <c r="M70" s="120">
        <v>0</v>
      </c>
    </row>
    <row r="71" spans="1:13" x14ac:dyDescent="0.2">
      <c r="A71" s="111">
        <v>45629</v>
      </c>
      <c r="B71" s="66" t="s">
        <v>81</v>
      </c>
      <c r="C71" t="s">
        <v>124</v>
      </c>
      <c r="D71" s="50" t="str">
        <f>VLOOKUP(C71,'Food Donor Database'!A:B,2,FALSE)</f>
        <v>Retailer</v>
      </c>
      <c r="E71" t="s">
        <v>16</v>
      </c>
      <c r="F71" t="s">
        <v>410</v>
      </c>
      <c r="G71" s="116">
        <v>2</v>
      </c>
      <c r="H71" s="116" t="s">
        <v>307</v>
      </c>
      <c r="I71" s="116">
        <v>20</v>
      </c>
      <c r="J71" s="128" t="s">
        <v>444</v>
      </c>
      <c r="K71" s="128" t="s">
        <v>444</v>
      </c>
      <c r="L71" s="50" t="s">
        <v>41</v>
      </c>
      <c r="M71" s="120">
        <v>1380</v>
      </c>
    </row>
    <row r="72" spans="1:13" x14ac:dyDescent="0.2">
      <c r="A72" s="111">
        <v>45629</v>
      </c>
      <c r="B72" s="66" t="s">
        <v>81</v>
      </c>
      <c r="C72" t="s">
        <v>124</v>
      </c>
      <c r="D72" s="50" t="str">
        <f>VLOOKUP(C72,'Food Donor Database'!A:B,2,FALSE)</f>
        <v>Retailer</v>
      </c>
      <c r="E72" t="s">
        <v>16</v>
      </c>
      <c r="F72" t="s">
        <v>421</v>
      </c>
      <c r="G72" s="116">
        <v>1</v>
      </c>
      <c r="H72" s="116" t="s">
        <v>307</v>
      </c>
      <c r="I72" s="116">
        <v>10</v>
      </c>
      <c r="J72" s="128" t="s">
        <v>444</v>
      </c>
      <c r="K72" s="128" t="s">
        <v>444</v>
      </c>
      <c r="L72" s="50" t="s">
        <v>41</v>
      </c>
      <c r="M72" s="120">
        <v>827</v>
      </c>
    </row>
    <row r="73" spans="1:13" x14ac:dyDescent="0.2">
      <c r="A73" s="111">
        <v>45629</v>
      </c>
      <c r="B73" s="66" t="s">
        <v>81</v>
      </c>
      <c r="C73" t="s">
        <v>124</v>
      </c>
      <c r="D73" s="50" t="str">
        <f>VLOOKUP(C73,'Food Donor Database'!A:B,2,FALSE)</f>
        <v>Retailer</v>
      </c>
      <c r="E73" t="s">
        <v>16</v>
      </c>
      <c r="F73" t="s">
        <v>425</v>
      </c>
      <c r="G73" s="116">
        <v>1</v>
      </c>
      <c r="H73" s="116" t="s">
        <v>307</v>
      </c>
      <c r="I73" s="116">
        <v>10</v>
      </c>
      <c r="J73" s="128" t="s">
        <v>444</v>
      </c>
      <c r="K73" s="128" t="s">
        <v>444</v>
      </c>
      <c r="L73" s="50" t="s">
        <v>41</v>
      </c>
      <c r="M73" s="120">
        <v>779</v>
      </c>
    </row>
    <row r="74" spans="1:13" x14ac:dyDescent="0.2">
      <c r="A74" s="111">
        <v>45629</v>
      </c>
      <c r="B74" s="66" t="s">
        <v>81</v>
      </c>
      <c r="C74" t="s">
        <v>124</v>
      </c>
      <c r="D74" s="50" t="str">
        <f>VLOOKUP(C74,'Food Donor Database'!A:B,2,FALSE)</f>
        <v>Retailer</v>
      </c>
      <c r="E74" t="s">
        <v>16</v>
      </c>
      <c r="F74" t="s">
        <v>437</v>
      </c>
      <c r="G74" s="116">
        <v>13</v>
      </c>
      <c r="H74" s="116" t="s">
        <v>308</v>
      </c>
      <c r="I74" s="116">
        <v>11.1</v>
      </c>
      <c r="J74" s="127">
        <v>46047</v>
      </c>
      <c r="K74" s="132">
        <f t="shared" ref="K74:K113" si="2">DAYS360(A74,J74,FALSE)</f>
        <v>412</v>
      </c>
      <c r="L74" s="50" t="s">
        <v>41</v>
      </c>
      <c r="M74" s="120">
        <v>1020</v>
      </c>
    </row>
    <row r="75" spans="1:13" x14ac:dyDescent="0.2">
      <c r="A75" s="111">
        <v>45629</v>
      </c>
      <c r="B75" s="66" t="s">
        <v>81</v>
      </c>
      <c r="C75" t="s">
        <v>124</v>
      </c>
      <c r="D75" s="50" t="str">
        <f>VLOOKUP(C75,'Food Donor Database'!A:B,2,FALSE)</f>
        <v>Retailer</v>
      </c>
      <c r="E75" t="s">
        <v>19</v>
      </c>
      <c r="F75" t="s">
        <v>435</v>
      </c>
      <c r="G75" s="116">
        <v>1</v>
      </c>
      <c r="H75" s="116" t="s">
        <v>312</v>
      </c>
      <c r="I75" s="116">
        <v>0.4</v>
      </c>
      <c r="J75" s="128">
        <v>45546</v>
      </c>
      <c r="K75" s="133">
        <f t="shared" si="2"/>
        <v>-82</v>
      </c>
      <c r="L75" s="50" t="s">
        <v>41</v>
      </c>
      <c r="M75" s="120">
        <v>230</v>
      </c>
    </row>
    <row r="76" spans="1:13" x14ac:dyDescent="0.2">
      <c r="A76" s="111">
        <v>45629</v>
      </c>
      <c r="B76" s="66" t="s">
        <v>81</v>
      </c>
      <c r="C76" t="s">
        <v>124</v>
      </c>
      <c r="D76" s="50" t="str">
        <f>VLOOKUP(C76,'Food Donor Database'!A:B,2,FALSE)</f>
        <v>Retailer</v>
      </c>
      <c r="E76" t="s">
        <v>16</v>
      </c>
      <c r="F76" t="s">
        <v>409</v>
      </c>
      <c r="G76" s="116">
        <v>2</v>
      </c>
      <c r="H76" s="116" t="s">
        <v>307</v>
      </c>
      <c r="I76" s="116">
        <v>20</v>
      </c>
      <c r="J76" s="127">
        <v>45641</v>
      </c>
      <c r="K76" s="132">
        <f t="shared" si="2"/>
        <v>12</v>
      </c>
      <c r="L76" s="50" t="s">
        <v>41</v>
      </c>
      <c r="M76" s="120">
        <v>1490</v>
      </c>
    </row>
    <row r="77" spans="1:13" x14ac:dyDescent="0.2">
      <c r="A77" s="111">
        <v>45629</v>
      </c>
      <c r="B77" s="66" t="s">
        <v>81</v>
      </c>
      <c r="C77" t="s">
        <v>124</v>
      </c>
      <c r="D77" s="50" t="str">
        <f>VLOOKUP(C77,'Food Donor Database'!A:B,2,FALSE)</f>
        <v>Retailer</v>
      </c>
      <c r="E77" t="s">
        <v>17</v>
      </c>
      <c r="F77" t="s">
        <v>420</v>
      </c>
      <c r="G77" s="116">
        <v>47</v>
      </c>
      <c r="H77" s="116" t="s">
        <v>308</v>
      </c>
      <c r="I77" s="116">
        <v>7.6</v>
      </c>
      <c r="J77" s="127">
        <v>45641</v>
      </c>
      <c r="K77" s="132">
        <f t="shared" si="2"/>
        <v>12</v>
      </c>
      <c r="L77" s="50" t="s">
        <v>41</v>
      </c>
      <c r="M77" s="120">
        <v>7003</v>
      </c>
    </row>
    <row r="78" spans="1:13" x14ac:dyDescent="0.2">
      <c r="A78" s="111">
        <v>45629</v>
      </c>
      <c r="B78" s="66" t="s">
        <v>81</v>
      </c>
      <c r="C78" t="s">
        <v>124</v>
      </c>
      <c r="D78" s="50" t="str">
        <f>VLOOKUP(C78,'Food Donor Database'!A:B,2,FALSE)</f>
        <v>Retailer</v>
      </c>
      <c r="E78" t="s">
        <v>23</v>
      </c>
      <c r="F78" t="s">
        <v>408</v>
      </c>
      <c r="G78" s="116">
        <v>1</v>
      </c>
      <c r="H78" s="116" t="s">
        <v>310</v>
      </c>
      <c r="I78" s="116">
        <v>0.5</v>
      </c>
      <c r="J78" s="127">
        <v>45656</v>
      </c>
      <c r="K78" s="132">
        <f t="shared" si="2"/>
        <v>27</v>
      </c>
      <c r="L78" s="50" t="s">
        <v>41</v>
      </c>
      <c r="M78" s="120">
        <v>0</v>
      </c>
    </row>
    <row r="79" spans="1:13" x14ac:dyDescent="0.2">
      <c r="A79" s="111">
        <v>45629</v>
      </c>
      <c r="B79" s="66" t="s">
        <v>81</v>
      </c>
      <c r="C79" t="s">
        <v>124</v>
      </c>
      <c r="D79" s="50" t="str">
        <f>VLOOKUP(C79,'Food Donor Database'!A:B,2,FALSE)</f>
        <v>Retailer</v>
      </c>
      <c r="E79" t="s">
        <v>15</v>
      </c>
      <c r="F79" t="s">
        <v>403</v>
      </c>
      <c r="G79" s="116">
        <v>1</v>
      </c>
      <c r="H79" s="116" t="s">
        <v>308</v>
      </c>
      <c r="I79" s="116">
        <v>0.35</v>
      </c>
      <c r="J79" s="127">
        <v>45657</v>
      </c>
      <c r="K79" s="132">
        <f t="shared" si="2"/>
        <v>28</v>
      </c>
      <c r="L79" s="50" t="s">
        <v>41</v>
      </c>
      <c r="M79" s="120">
        <v>332</v>
      </c>
    </row>
    <row r="80" spans="1:13" x14ac:dyDescent="0.2">
      <c r="A80" s="111">
        <v>45629</v>
      </c>
      <c r="B80" s="66" t="s">
        <v>81</v>
      </c>
      <c r="C80" t="s">
        <v>124</v>
      </c>
      <c r="D80" s="50" t="str">
        <f>VLOOKUP(C80,'Food Donor Database'!A:B,2,FALSE)</f>
        <v>Retailer</v>
      </c>
      <c r="E80" t="s">
        <v>24</v>
      </c>
      <c r="F80" t="s">
        <v>416</v>
      </c>
      <c r="G80" s="116">
        <v>5</v>
      </c>
      <c r="H80" s="116" t="s">
        <v>312</v>
      </c>
      <c r="I80" s="116">
        <v>1.75</v>
      </c>
      <c r="J80" s="127">
        <v>45703</v>
      </c>
      <c r="K80" s="132">
        <f t="shared" si="2"/>
        <v>72</v>
      </c>
      <c r="L80" s="50" t="s">
        <v>41</v>
      </c>
      <c r="M80" s="120">
        <v>180</v>
      </c>
    </row>
    <row r="81" spans="1:13" x14ac:dyDescent="0.2">
      <c r="A81" s="111">
        <v>45629</v>
      </c>
      <c r="B81" s="66" t="s">
        <v>81</v>
      </c>
      <c r="C81" t="s">
        <v>124</v>
      </c>
      <c r="D81" s="50" t="str">
        <f>VLOOKUP(C81,'Food Donor Database'!A:B,2,FALSE)</f>
        <v>Retailer</v>
      </c>
      <c r="E81" t="s">
        <v>24</v>
      </c>
      <c r="F81" t="s">
        <v>330</v>
      </c>
      <c r="G81" s="116">
        <v>1</v>
      </c>
      <c r="H81" s="116" t="s">
        <v>312</v>
      </c>
      <c r="I81" s="116">
        <v>0.35</v>
      </c>
      <c r="J81" s="127">
        <v>45703</v>
      </c>
      <c r="K81" s="132">
        <f t="shared" si="2"/>
        <v>72</v>
      </c>
      <c r="L81" s="50" t="s">
        <v>41</v>
      </c>
      <c r="M81" s="120">
        <v>36</v>
      </c>
    </row>
    <row r="82" spans="1:13" x14ac:dyDescent="0.2">
      <c r="A82" s="111">
        <v>45629</v>
      </c>
      <c r="B82" s="66" t="s">
        <v>81</v>
      </c>
      <c r="C82" t="s">
        <v>124</v>
      </c>
      <c r="D82" s="50" t="str">
        <f>VLOOKUP(C82,'Food Donor Database'!A:B,2,FALSE)</f>
        <v>Retailer</v>
      </c>
      <c r="E82" t="s">
        <v>23</v>
      </c>
      <c r="F82" t="s">
        <v>422</v>
      </c>
      <c r="G82" s="116">
        <v>2</v>
      </c>
      <c r="H82" s="116" t="s">
        <v>312</v>
      </c>
      <c r="I82" s="116">
        <v>0.75</v>
      </c>
      <c r="J82" s="127">
        <v>45729</v>
      </c>
      <c r="K82" s="132">
        <f t="shared" si="2"/>
        <v>100</v>
      </c>
      <c r="L82" s="50" t="s">
        <v>41</v>
      </c>
      <c r="M82" s="120">
        <v>118</v>
      </c>
    </row>
    <row r="83" spans="1:13" x14ac:dyDescent="0.2">
      <c r="A83" s="111">
        <v>45629</v>
      </c>
      <c r="B83" s="66" t="s">
        <v>81</v>
      </c>
      <c r="C83" t="s">
        <v>124</v>
      </c>
      <c r="D83" s="50" t="str">
        <f>VLOOKUP(C83,'Food Donor Database'!A:B,2,FALSE)</f>
        <v>Retailer</v>
      </c>
      <c r="E83" t="s">
        <v>16</v>
      </c>
      <c r="F83" t="s">
        <v>436</v>
      </c>
      <c r="G83" s="116">
        <v>4</v>
      </c>
      <c r="H83" s="116" t="s">
        <v>308</v>
      </c>
      <c r="I83" s="116">
        <v>1.75</v>
      </c>
      <c r="J83" s="127">
        <v>45769</v>
      </c>
      <c r="K83" s="132">
        <f t="shared" si="2"/>
        <v>139</v>
      </c>
      <c r="L83" s="50" t="s">
        <v>41</v>
      </c>
      <c r="M83" s="120">
        <v>159</v>
      </c>
    </row>
    <row r="84" spans="1:13" x14ac:dyDescent="0.2">
      <c r="A84" s="111">
        <v>45629</v>
      </c>
      <c r="B84" s="66" t="s">
        <v>81</v>
      </c>
      <c r="C84" t="s">
        <v>124</v>
      </c>
      <c r="D84" s="50" t="str">
        <f>VLOOKUP(C84,'Food Donor Database'!A:B,2,FALSE)</f>
        <v>Retailer</v>
      </c>
      <c r="E84" t="s">
        <v>15</v>
      </c>
      <c r="F84" t="s">
        <v>426</v>
      </c>
      <c r="G84" s="116">
        <v>1</v>
      </c>
      <c r="H84" s="116" t="s">
        <v>309</v>
      </c>
      <c r="I84" s="116">
        <v>0.2</v>
      </c>
      <c r="J84" s="127">
        <v>45782</v>
      </c>
      <c r="K84" s="132">
        <f t="shared" si="2"/>
        <v>152</v>
      </c>
      <c r="L84" s="50" t="s">
        <v>41</v>
      </c>
      <c r="M84" s="120">
        <v>77</v>
      </c>
    </row>
    <row r="85" spans="1:13" x14ac:dyDescent="0.2">
      <c r="A85" s="111">
        <v>45629</v>
      </c>
      <c r="B85" s="66" t="s">
        <v>81</v>
      </c>
      <c r="C85" t="s">
        <v>124</v>
      </c>
      <c r="D85" s="50" t="str">
        <f>VLOOKUP(C85,'Food Donor Database'!A:B,2,FALSE)</f>
        <v>Retailer</v>
      </c>
      <c r="E85" t="s">
        <v>23</v>
      </c>
      <c r="F85" t="s">
        <v>404</v>
      </c>
      <c r="G85" s="116">
        <v>2</v>
      </c>
      <c r="H85" s="116" t="s">
        <v>311</v>
      </c>
      <c r="I85" s="116">
        <v>1.3</v>
      </c>
      <c r="J85" s="127">
        <v>45794</v>
      </c>
      <c r="K85" s="132">
        <f t="shared" si="2"/>
        <v>164</v>
      </c>
      <c r="L85" s="50" t="s">
        <v>41</v>
      </c>
      <c r="M85" s="120">
        <v>1920</v>
      </c>
    </row>
    <row r="86" spans="1:13" x14ac:dyDescent="0.2">
      <c r="A86" s="111">
        <v>45629</v>
      </c>
      <c r="B86" s="66" t="s">
        <v>81</v>
      </c>
      <c r="C86" t="s">
        <v>124</v>
      </c>
      <c r="D86" s="50" t="str">
        <f>VLOOKUP(C86,'Food Donor Database'!A:B,2,FALSE)</f>
        <v>Retailer</v>
      </c>
      <c r="E86" t="s">
        <v>15</v>
      </c>
      <c r="F86" t="s">
        <v>419</v>
      </c>
      <c r="G86" s="116">
        <v>1</v>
      </c>
      <c r="H86" s="116" t="s">
        <v>308</v>
      </c>
      <c r="I86" s="116">
        <v>0.15</v>
      </c>
      <c r="J86" s="127">
        <v>45815</v>
      </c>
      <c r="K86" s="132">
        <f t="shared" si="2"/>
        <v>184</v>
      </c>
      <c r="L86" s="50" t="s">
        <v>41</v>
      </c>
      <c r="M86" s="120">
        <v>49</v>
      </c>
    </row>
    <row r="87" spans="1:13" x14ac:dyDescent="0.2">
      <c r="A87" s="111">
        <v>45629</v>
      </c>
      <c r="B87" s="66" t="s">
        <v>81</v>
      </c>
      <c r="C87" t="s">
        <v>124</v>
      </c>
      <c r="D87" s="50" t="str">
        <f>VLOOKUP(C87,'Food Donor Database'!A:B,2,FALSE)</f>
        <v>Retailer</v>
      </c>
      <c r="E87" t="s">
        <v>24</v>
      </c>
      <c r="F87" t="s">
        <v>412</v>
      </c>
      <c r="G87" s="116">
        <v>1</v>
      </c>
      <c r="H87" s="116" t="s">
        <v>312</v>
      </c>
      <c r="I87" s="116">
        <v>0.35</v>
      </c>
      <c r="J87" s="127">
        <v>45820</v>
      </c>
      <c r="K87" s="132">
        <f t="shared" si="2"/>
        <v>189</v>
      </c>
      <c r="L87" s="50" t="s">
        <v>41</v>
      </c>
      <c r="M87" s="120">
        <v>69</v>
      </c>
    </row>
    <row r="88" spans="1:13" x14ac:dyDescent="0.2">
      <c r="A88" s="111">
        <v>45629</v>
      </c>
      <c r="B88" s="66" t="s">
        <v>81</v>
      </c>
      <c r="C88" t="s">
        <v>124</v>
      </c>
      <c r="D88" s="50" t="str">
        <f>VLOOKUP(C88,'Food Donor Database'!A:B,2,FALSE)</f>
        <v>Retailer</v>
      </c>
      <c r="E88" t="s">
        <v>146</v>
      </c>
      <c r="F88" t="s">
        <v>411</v>
      </c>
      <c r="G88" s="116">
        <v>1</v>
      </c>
      <c r="H88" s="116" t="s">
        <v>308</v>
      </c>
      <c r="I88" s="116">
        <v>0.05</v>
      </c>
      <c r="J88" s="127">
        <v>45870</v>
      </c>
      <c r="K88" s="132">
        <f t="shared" si="2"/>
        <v>238</v>
      </c>
      <c r="L88" s="50" t="s">
        <v>41</v>
      </c>
      <c r="M88" s="120">
        <v>109</v>
      </c>
    </row>
    <row r="89" spans="1:13" ht="14.5" customHeight="1" x14ac:dyDescent="0.2">
      <c r="A89" s="111">
        <v>45629</v>
      </c>
      <c r="B89" s="66" t="s">
        <v>81</v>
      </c>
      <c r="C89" t="s">
        <v>124</v>
      </c>
      <c r="D89" s="50" t="str">
        <f>VLOOKUP(C89,'Food Donor Database'!A:B,2,FALSE)</f>
        <v>Retailer</v>
      </c>
      <c r="E89" t="s">
        <v>16</v>
      </c>
      <c r="F89" t="s">
        <v>433</v>
      </c>
      <c r="G89" s="116">
        <v>22</v>
      </c>
      <c r="H89" s="116" t="s">
        <v>308</v>
      </c>
      <c r="I89" s="116">
        <v>4.05</v>
      </c>
      <c r="J89" s="127">
        <v>45870</v>
      </c>
      <c r="K89" s="132">
        <f t="shared" si="2"/>
        <v>238</v>
      </c>
      <c r="L89" s="50" t="s">
        <v>41</v>
      </c>
      <c r="M89" s="120">
        <v>1504.8</v>
      </c>
    </row>
    <row r="90" spans="1:13" x14ac:dyDescent="0.2">
      <c r="A90" s="111">
        <v>45629</v>
      </c>
      <c r="B90" s="66" t="s">
        <v>81</v>
      </c>
      <c r="C90" t="s">
        <v>124</v>
      </c>
      <c r="D90" s="50" t="str">
        <f>VLOOKUP(C90,'Food Donor Database'!A:B,2,FALSE)</f>
        <v>Retailer</v>
      </c>
      <c r="E90" t="s">
        <v>24</v>
      </c>
      <c r="F90" t="s">
        <v>413</v>
      </c>
      <c r="G90" s="116">
        <v>1</v>
      </c>
      <c r="H90" s="116" t="s">
        <v>312</v>
      </c>
      <c r="I90" s="116">
        <v>0.35</v>
      </c>
      <c r="J90" s="127">
        <v>45894</v>
      </c>
      <c r="K90" s="132">
        <f t="shared" si="2"/>
        <v>262</v>
      </c>
      <c r="L90" s="50" t="s">
        <v>41</v>
      </c>
      <c r="M90" s="120">
        <v>36</v>
      </c>
    </row>
    <row r="91" spans="1:13" x14ac:dyDescent="0.2">
      <c r="A91" s="111">
        <v>45629</v>
      </c>
      <c r="B91" s="66" t="s">
        <v>81</v>
      </c>
      <c r="C91" t="s">
        <v>124</v>
      </c>
      <c r="D91" s="50" t="str">
        <f>VLOOKUP(C91,'Food Donor Database'!A:B,2,FALSE)</f>
        <v>Retailer</v>
      </c>
      <c r="E91" t="s">
        <v>16</v>
      </c>
      <c r="F91" t="s">
        <v>423</v>
      </c>
      <c r="G91" s="116">
        <v>3</v>
      </c>
      <c r="H91" s="116" t="s">
        <v>308</v>
      </c>
      <c r="I91" s="116">
        <v>0.8</v>
      </c>
      <c r="J91" s="127">
        <v>45901</v>
      </c>
      <c r="K91" s="132">
        <f t="shared" si="2"/>
        <v>268</v>
      </c>
      <c r="L91" s="50" t="s">
        <v>41</v>
      </c>
      <c r="M91" s="120">
        <v>585</v>
      </c>
    </row>
    <row r="92" spans="1:13" x14ac:dyDescent="0.2">
      <c r="A92" s="111">
        <v>45629</v>
      </c>
      <c r="B92" s="66" t="s">
        <v>81</v>
      </c>
      <c r="C92" t="s">
        <v>124</v>
      </c>
      <c r="D92" s="50" t="str">
        <f>VLOOKUP(C92,'Food Donor Database'!A:B,2,FALSE)</f>
        <v>Retailer</v>
      </c>
      <c r="E92" t="s">
        <v>15</v>
      </c>
      <c r="F92" t="s">
        <v>424</v>
      </c>
      <c r="G92" s="116">
        <v>1</v>
      </c>
      <c r="H92" s="116" t="s">
        <v>308</v>
      </c>
      <c r="I92" s="116">
        <v>0.3</v>
      </c>
      <c r="J92" s="127">
        <v>45901</v>
      </c>
      <c r="K92" s="132">
        <f t="shared" si="2"/>
        <v>268</v>
      </c>
      <c r="L92" s="50" t="s">
        <v>41</v>
      </c>
      <c r="M92" s="120">
        <v>179.5</v>
      </c>
    </row>
    <row r="93" spans="1:13" x14ac:dyDescent="0.2">
      <c r="A93" s="111">
        <v>45629</v>
      </c>
      <c r="B93" s="66" t="s">
        <v>81</v>
      </c>
      <c r="C93" t="s">
        <v>124</v>
      </c>
      <c r="D93" s="50" t="str">
        <f>VLOOKUP(C93,'Food Donor Database'!A:B,2,FALSE)</f>
        <v>Retailer</v>
      </c>
      <c r="E93" t="s">
        <v>24</v>
      </c>
      <c r="F93" t="s">
        <v>414</v>
      </c>
      <c r="G93" s="116">
        <v>1</v>
      </c>
      <c r="H93" s="116" t="s">
        <v>312</v>
      </c>
      <c r="I93" s="116">
        <v>0.35</v>
      </c>
      <c r="J93" s="127">
        <v>45913</v>
      </c>
      <c r="K93" s="132">
        <f t="shared" si="2"/>
        <v>280</v>
      </c>
      <c r="L93" s="50" t="s">
        <v>41</v>
      </c>
      <c r="M93" s="120">
        <v>36.25</v>
      </c>
    </row>
    <row r="94" spans="1:13" x14ac:dyDescent="0.2">
      <c r="A94" s="111">
        <v>45629</v>
      </c>
      <c r="B94" s="66" t="s">
        <v>81</v>
      </c>
      <c r="C94" t="s">
        <v>124</v>
      </c>
      <c r="D94" s="50" t="str">
        <f>VLOOKUP(C94,'Food Donor Database'!A:B,2,FALSE)</f>
        <v>Retailer</v>
      </c>
      <c r="E94" t="s">
        <v>15</v>
      </c>
      <c r="F94" t="s">
        <v>427</v>
      </c>
      <c r="G94" s="116">
        <v>8</v>
      </c>
      <c r="H94" s="116" t="s">
        <v>313</v>
      </c>
      <c r="I94" s="116">
        <v>0.3</v>
      </c>
      <c r="J94" s="127">
        <v>45913</v>
      </c>
      <c r="K94" s="132">
        <f t="shared" si="2"/>
        <v>280</v>
      </c>
      <c r="L94" s="50" t="s">
        <v>41</v>
      </c>
      <c r="M94" s="120">
        <v>66.5</v>
      </c>
    </row>
    <row r="95" spans="1:13" x14ac:dyDescent="0.2">
      <c r="A95" s="111">
        <v>45629</v>
      </c>
      <c r="B95" s="66" t="s">
        <v>81</v>
      </c>
      <c r="C95" t="s">
        <v>124</v>
      </c>
      <c r="D95" s="50" t="str">
        <f>VLOOKUP(C95,'Food Donor Database'!A:B,2,FALSE)</f>
        <v>Retailer</v>
      </c>
      <c r="E95" t="s">
        <v>16</v>
      </c>
      <c r="F95" t="s">
        <v>402</v>
      </c>
      <c r="G95" s="116">
        <v>1</v>
      </c>
      <c r="H95" s="116" t="s">
        <v>308</v>
      </c>
      <c r="I95" s="116">
        <v>0.25</v>
      </c>
      <c r="J95" s="127">
        <v>45931</v>
      </c>
      <c r="K95" s="132">
        <f t="shared" si="2"/>
        <v>298</v>
      </c>
      <c r="L95" s="50" t="s">
        <v>41</v>
      </c>
      <c r="M95" s="120">
        <v>145.5</v>
      </c>
    </row>
    <row r="96" spans="1:13" x14ac:dyDescent="0.2">
      <c r="A96" s="111">
        <v>45629</v>
      </c>
      <c r="B96" s="66" t="s">
        <v>81</v>
      </c>
      <c r="C96" t="s">
        <v>124</v>
      </c>
      <c r="D96" s="50" t="str">
        <f>VLOOKUP(C96,'Food Donor Database'!A:B,2,FALSE)</f>
        <v>Retailer</v>
      </c>
      <c r="E96" t="s">
        <v>24</v>
      </c>
      <c r="F96" t="s">
        <v>415</v>
      </c>
      <c r="G96" s="116">
        <v>8</v>
      </c>
      <c r="H96" s="116" t="s">
        <v>312</v>
      </c>
      <c r="I96" s="116">
        <v>2.8</v>
      </c>
      <c r="J96" s="127">
        <v>45932</v>
      </c>
      <c r="K96" s="132">
        <f t="shared" si="2"/>
        <v>299</v>
      </c>
      <c r="L96" s="50" t="s">
        <v>41</v>
      </c>
      <c r="M96" s="120">
        <v>288</v>
      </c>
    </row>
    <row r="97" spans="1:13" x14ac:dyDescent="0.2">
      <c r="A97" s="111">
        <v>45629</v>
      </c>
      <c r="B97" s="66" t="s">
        <v>81</v>
      </c>
      <c r="C97" t="s">
        <v>124</v>
      </c>
      <c r="D97" s="50" t="str">
        <f>VLOOKUP(C97,'Food Donor Database'!A:B,2,FALSE)</f>
        <v>Retailer</v>
      </c>
      <c r="E97" t="s">
        <v>19</v>
      </c>
      <c r="F97" t="s">
        <v>440</v>
      </c>
      <c r="G97" s="116">
        <v>2</v>
      </c>
      <c r="H97" s="116" t="s">
        <v>312</v>
      </c>
      <c r="I97" s="116">
        <v>0.35</v>
      </c>
      <c r="J97" s="127">
        <v>46058</v>
      </c>
      <c r="K97" s="132">
        <f t="shared" si="2"/>
        <v>422</v>
      </c>
      <c r="L97" s="50" t="s">
        <v>41</v>
      </c>
      <c r="M97" s="120">
        <v>400</v>
      </c>
    </row>
    <row r="98" spans="1:13" x14ac:dyDescent="0.2">
      <c r="A98" s="111">
        <v>45629</v>
      </c>
      <c r="B98" s="66" t="s">
        <v>81</v>
      </c>
      <c r="C98" t="s">
        <v>124</v>
      </c>
      <c r="D98" s="50" t="str">
        <f>VLOOKUP(C98,'Food Donor Database'!A:B,2,FALSE)</f>
        <v>Retailer</v>
      </c>
      <c r="E98" t="s">
        <v>146</v>
      </c>
      <c r="F98" t="s">
        <v>429</v>
      </c>
      <c r="G98" s="116">
        <v>1</v>
      </c>
      <c r="H98" s="116" t="s">
        <v>308</v>
      </c>
      <c r="I98" s="116">
        <v>0.05</v>
      </c>
      <c r="J98" s="127">
        <v>46082</v>
      </c>
      <c r="K98" s="132">
        <f t="shared" si="2"/>
        <v>448</v>
      </c>
      <c r="L98" s="50" t="s">
        <v>41</v>
      </c>
      <c r="M98" s="120">
        <v>55</v>
      </c>
    </row>
    <row r="99" spans="1:13" x14ac:dyDescent="0.2">
      <c r="A99" s="111">
        <v>45629</v>
      </c>
      <c r="B99" s="66" t="s">
        <v>81</v>
      </c>
      <c r="C99" t="s">
        <v>124</v>
      </c>
      <c r="D99" s="50" t="str">
        <f>VLOOKUP(C99,'Food Donor Database'!A:B,2,FALSE)</f>
        <v>Retailer</v>
      </c>
      <c r="E99" t="s">
        <v>23</v>
      </c>
      <c r="F99" t="s">
        <v>405</v>
      </c>
      <c r="G99" s="116">
        <v>1</v>
      </c>
      <c r="H99" s="116" t="s">
        <v>311</v>
      </c>
      <c r="I99" s="116">
        <v>0.6</v>
      </c>
      <c r="J99" s="127">
        <v>46135</v>
      </c>
      <c r="K99" s="132">
        <f t="shared" si="2"/>
        <v>500</v>
      </c>
      <c r="L99" s="50" t="s">
        <v>41</v>
      </c>
      <c r="M99" s="120">
        <v>870</v>
      </c>
    </row>
    <row r="100" spans="1:13" x14ac:dyDescent="0.2">
      <c r="A100" s="111">
        <v>45629</v>
      </c>
      <c r="B100" s="66" t="s">
        <v>81</v>
      </c>
      <c r="C100" t="s">
        <v>124</v>
      </c>
      <c r="D100" s="50" t="str">
        <f>VLOOKUP(C100,'Food Donor Database'!A:B,2,FALSE)</f>
        <v>Retailer</v>
      </c>
      <c r="E100" t="s">
        <v>149</v>
      </c>
      <c r="F100" t="s">
        <v>428</v>
      </c>
      <c r="G100" s="116">
        <v>1</v>
      </c>
      <c r="H100" s="116" t="s">
        <v>308</v>
      </c>
      <c r="I100" s="116">
        <v>0.05</v>
      </c>
      <c r="J100" s="127">
        <v>46156</v>
      </c>
      <c r="K100" s="132">
        <f t="shared" si="2"/>
        <v>521</v>
      </c>
      <c r="L100" s="50" t="s">
        <v>41</v>
      </c>
      <c r="M100" s="120">
        <v>290</v>
      </c>
    </row>
    <row r="101" spans="1:13" x14ac:dyDescent="0.2">
      <c r="A101" s="111">
        <v>45629</v>
      </c>
      <c r="B101" s="66" t="s">
        <v>81</v>
      </c>
      <c r="C101" t="s">
        <v>124</v>
      </c>
      <c r="D101" s="50" t="str">
        <f>VLOOKUP(C101,'Food Donor Database'!A:B,2,FALSE)</f>
        <v>Retailer</v>
      </c>
      <c r="E101" t="s">
        <v>13</v>
      </c>
      <c r="F101" t="s">
        <v>417</v>
      </c>
      <c r="G101" s="116">
        <v>1</v>
      </c>
      <c r="H101" s="116" t="s">
        <v>312</v>
      </c>
      <c r="I101" s="116">
        <v>0.9</v>
      </c>
      <c r="J101" s="127">
        <v>46198</v>
      </c>
      <c r="K101" s="132">
        <f t="shared" si="2"/>
        <v>562</v>
      </c>
      <c r="L101" s="50" t="s">
        <v>41</v>
      </c>
      <c r="M101" s="120">
        <v>143</v>
      </c>
    </row>
    <row r="102" spans="1:13" x14ac:dyDescent="0.2">
      <c r="A102" s="111">
        <v>45629</v>
      </c>
      <c r="B102" s="66" t="s">
        <v>81</v>
      </c>
      <c r="C102" t="s">
        <v>124</v>
      </c>
      <c r="D102" s="50" t="str">
        <f>VLOOKUP(C102,'Food Donor Database'!A:B,2,FALSE)</f>
        <v>Retailer</v>
      </c>
      <c r="E102" t="s">
        <v>19</v>
      </c>
      <c r="F102" t="s">
        <v>407</v>
      </c>
      <c r="G102" s="116">
        <v>1</v>
      </c>
      <c r="H102" s="116" t="s">
        <v>312</v>
      </c>
      <c r="I102" s="116">
        <v>0.4</v>
      </c>
      <c r="J102" s="127">
        <v>46218</v>
      </c>
      <c r="K102" s="132">
        <f t="shared" si="2"/>
        <v>582</v>
      </c>
      <c r="L102" s="50" t="s">
        <v>41</v>
      </c>
      <c r="M102" s="120">
        <v>0</v>
      </c>
    </row>
    <row r="103" spans="1:13" x14ac:dyDescent="0.2">
      <c r="A103" s="111">
        <v>45629</v>
      </c>
      <c r="B103" s="66" t="s">
        <v>81</v>
      </c>
      <c r="C103" t="s">
        <v>124</v>
      </c>
      <c r="D103" s="50" t="str">
        <f>VLOOKUP(C103,'Food Donor Database'!A:B,2,FALSE)</f>
        <v>Retailer</v>
      </c>
      <c r="E103" t="s">
        <v>19</v>
      </c>
      <c r="F103" t="s">
        <v>325</v>
      </c>
      <c r="G103" s="116">
        <v>2</v>
      </c>
      <c r="H103" s="116" t="s">
        <v>312</v>
      </c>
      <c r="I103" s="116">
        <v>0.4</v>
      </c>
      <c r="J103" s="127">
        <v>46222</v>
      </c>
      <c r="K103" s="132">
        <f t="shared" si="2"/>
        <v>586</v>
      </c>
      <c r="L103" s="50" t="s">
        <v>41</v>
      </c>
      <c r="M103" s="120">
        <v>49.5</v>
      </c>
    </row>
    <row r="104" spans="1:13" x14ac:dyDescent="0.2">
      <c r="A104" s="111">
        <v>45629</v>
      </c>
      <c r="B104" s="66" t="s">
        <v>81</v>
      </c>
      <c r="C104" t="s">
        <v>124</v>
      </c>
      <c r="D104" s="50" t="str">
        <f>VLOOKUP(C104,'Food Donor Database'!A:B,2,FALSE)</f>
        <v>Retailer</v>
      </c>
      <c r="E104" t="s">
        <v>19</v>
      </c>
      <c r="F104" t="s">
        <v>438</v>
      </c>
      <c r="G104" s="116">
        <v>2</v>
      </c>
      <c r="H104" s="116" t="s">
        <v>312</v>
      </c>
      <c r="I104" s="116">
        <v>0.6</v>
      </c>
      <c r="J104" s="127">
        <v>46223</v>
      </c>
      <c r="K104" s="132">
        <f t="shared" si="2"/>
        <v>587</v>
      </c>
      <c r="L104" s="50" t="s">
        <v>41</v>
      </c>
      <c r="M104" s="120">
        <v>296</v>
      </c>
    </row>
    <row r="105" spans="1:13" x14ac:dyDescent="0.2">
      <c r="A105" s="111">
        <v>45629</v>
      </c>
      <c r="B105" s="66" t="s">
        <v>81</v>
      </c>
      <c r="C105" t="s">
        <v>124</v>
      </c>
      <c r="D105" s="50" t="str">
        <f>VLOOKUP(C105,'Food Donor Database'!A:B,2,FALSE)</f>
        <v>Retailer</v>
      </c>
      <c r="E105" t="s">
        <v>19</v>
      </c>
      <c r="F105" t="s">
        <v>441</v>
      </c>
      <c r="G105" s="116">
        <v>4</v>
      </c>
      <c r="H105" s="116" t="s">
        <v>312</v>
      </c>
      <c r="I105" s="116">
        <v>1.2</v>
      </c>
      <c r="J105" s="127">
        <v>46223</v>
      </c>
      <c r="K105" s="132">
        <f t="shared" si="2"/>
        <v>587</v>
      </c>
      <c r="L105" s="50" t="s">
        <v>41</v>
      </c>
      <c r="M105" s="120">
        <v>592</v>
      </c>
    </row>
    <row r="106" spans="1:13" x14ac:dyDescent="0.2">
      <c r="A106" s="111">
        <v>45629</v>
      </c>
      <c r="B106" s="66" t="s">
        <v>81</v>
      </c>
      <c r="C106" t="s">
        <v>124</v>
      </c>
      <c r="D106" s="50" t="str">
        <f>VLOOKUP(C106,'Food Donor Database'!A:B,2,FALSE)</f>
        <v>Retailer</v>
      </c>
      <c r="E106" t="s">
        <v>146</v>
      </c>
      <c r="F106" t="s">
        <v>430</v>
      </c>
      <c r="G106" s="116">
        <v>1</v>
      </c>
      <c r="H106" s="116" t="s">
        <v>308</v>
      </c>
      <c r="I106" s="116">
        <v>0.6</v>
      </c>
      <c r="J106" s="127">
        <v>46296</v>
      </c>
      <c r="K106" s="132">
        <f t="shared" si="2"/>
        <v>658</v>
      </c>
      <c r="L106" s="50" t="s">
        <v>41</v>
      </c>
      <c r="M106" s="120">
        <v>238</v>
      </c>
    </row>
    <row r="107" spans="1:13" x14ac:dyDescent="0.2">
      <c r="A107" s="111">
        <v>45629</v>
      </c>
      <c r="B107" s="66" t="s">
        <v>81</v>
      </c>
      <c r="C107" t="s">
        <v>124</v>
      </c>
      <c r="D107" s="50" t="str">
        <f>VLOOKUP(C107,'Food Donor Database'!A:B,2,FALSE)</f>
        <v>Retailer</v>
      </c>
      <c r="E107" t="s">
        <v>16</v>
      </c>
      <c r="F107" t="s">
        <v>406</v>
      </c>
      <c r="G107" s="116">
        <v>1</v>
      </c>
      <c r="H107" s="116" t="s">
        <v>308</v>
      </c>
      <c r="I107" s="116">
        <v>0.55000000000000004</v>
      </c>
      <c r="J107" s="127">
        <v>46355</v>
      </c>
      <c r="K107" s="132">
        <f t="shared" si="2"/>
        <v>716</v>
      </c>
      <c r="L107" s="50" t="s">
        <v>41</v>
      </c>
      <c r="M107" s="120">
        <v>0</v>
      </c>
    </row>
    <row r="108" spans="1:13" x14ac:dyDescent="0.2">
      <c r="A108" s="111">
        <v>45629</v>
      </c>
      <c r="B108" s="66" t="s">
        <v>81</v>
      </c>
      <c r="C108" t="s">
        <v>124</v>
      </c>
      <c r="D108" s="50" t="str">
        <f>VLOOKUP(C108,'Food Donor Database'!A:B,2,FALSE)</f>
        <v>Retailer</v>
      </c>
      <c r="E108" t="s">
        <v>146</v>
      </c>
      <c r="F108" t="s">
        <v>434</v>
      </c>
      <c r="G108" s="116">
        <v>1</v>
      </c>
      <c r="H108" s="116" t="s">
        <v>308</v>
      </c>
      <c r="I108" s="116">
        <v>0.15</v>
      </c>
      <c r="J108" s="127">
        <v>46419</v>
      </c>
      <c r="K108" s="132">
        <f t="shared" si="2"/>
        <v>778</v>
      </c>
      <c r="L108" s="50" t="s">
        <v>41</v>
      </c>
      <c r="M108" s="120">
        <v>185</v>
      </c>
    </row>
    <row r="109" spans="1:13" x14ac:dyDescent="0.2">
      <c r="A109" s="111">
        <v>45629</v>
      </c>
      <c r="B109" s="66" t="s">
        <v>81</v>
      </c>
      <c r="C109" t="s">
        <v>124</v>
      </c>
      <c r="D109" s="50" t="str">
        <f>VLOOKUP(C109,'Food Donor Database'!A:B,2,FALSE)</f>
        <v>Retailer</v>
      </c>
      <c r="E109" t="s">
        <v>13</v>
      </c>
      <c r="F109" t="s">
        <v>418</v>
      </c>
      <c r="G109" s="116">
        <v>3</v>
      </c>
      <c r="H109" s="116" t="s">
        <v>312</v>
      </c>
      <c r="I109" s="116">
        <v>2.85</v>
      </c>
      <c r="J109" s="127">
        <v>46434</v>
      </c>
      <c r="K109" s="132">
        <f t="shared" si="2"/>
        <v>793</v>
      </c>
      <c r="L109" s="50" t="s">
        <v>41</v>
      </c>
      <c r="M109" s="120">
        <v>390</v>
      </c>
    </row>
    <row r="110" spans="1:13" x14ac:dyDescent="0.2">
      <c r="A110" s="111">
        <v>45629</v>
      </c>
      <c r="B110" s="66" t="s">
        <v>81</v>
      </c>
      <c r="C110" t="s">
        <v>124</v>
      </c>
      <c r="D110" s="50" t="str">
        <f>VLOOKUP(C110,'Food Donor Database'!A:B,2,FALSE)</f>
        <v>Retailer</v>
      </c>
      <c r="E110" t="s">
        <v>19</v>
      </c>
      <c r="F110" t="s">
        <v>439</v>
      </c>
      <c r="G110" s="116">
        <v>1</v>
      </c>
      <c r="H110" s="116" t="s">
        <v>312</v>
      </c>
      <c r="I110" s="116">
        <v>0.3</v>
      </c>
      <c r="J110" s="127">
        <v>46579</v>
      </c>
      <c r="K110" s="132">
        <f t="shared" si="2"/>
        <v>938</v>
      </c>
      <c r="L110" s="50" t="s">
        <v>41</v>
      </c>
      <c r="M110" s="120">
        <v>142</v>
      </c>
    </row>
    <row r="111" spans="1:13" x14ac:dyDescent="0.2">
      <c r="A111" s="111">
        <v>45629</v>
      </c>
      <c r="B111" s="66" t="s">
        <v>81</v>
      </c>
      <c r="C111" t="s">
        <v>124</v>
      </c>
      <c r="D111" s="50" t="str">
        <f>VLOOKUP(C111,'Food Donor Database'!A:B,2,FALSE)</f>
        <v>Retailer</v>
      </c>
      <c r="E111" t="s">
        <v>19</v>
      </c>
      <c r="F111" t="s">
        <v>439</v>
      </c>
      <c r="G111" s="116">
        <v>1</v>
      </c>
      <c r="H111" s="116" t="s">
        <v>312</v>
      </c>
      <c r="I111" s="116">
        <v>0.35</v>
      </c>
      <c r="J111" s="127">
        <v>46579</v>
      </c>
      <c r="K111" s="132">
        <f t="shared" si="2"/>
        <v>938</v>
      </c>
      <c r="L111" s="50" t="s">
        <v>41</v>
      </c>
      <c r="M111" s="120">
        <v>142</v>
      </c>
    </row>
    <row r="112" spans="1:13" x14ac:dyDescent="0.2">
      <c r="A112" s="111">
        <v>45629</v>
      </c>
      <c r="B112" s="66" t="s">
        <v>81</v>
      </c>
      <c r="C112" t="s">
        <v>124</v>
      </c>
      <c r="D112" s="50" t="str">
        <f>VLOOKUP(C112,'Food Donor Database'!A:B,2,FALSE)</f>
        <v>Retailer</v>
      </c>
      <c r="E112" t="s">
        <v>146</v>
      </c>
      <c r="F112" t="s">
        <v>431</v>
      </c>
      <c r="G112" s="116">
        <v>1</v>
      </c>
      <c r="H112" s="116" t="s">
        <v>308</v>
      </c>
      <c r="I112" s="116">
        <v>0.3</v>
      </c>
      <c r="J112" s="127">
        <v>46631</v>
      </c>
      <c r="K112" s="132">
        <f t="shared" si="2"/>
        <v>988</v>
      </c>
      <c r="L112" s="50" t="s">
        <v>41</v>
      </c>
      <c r="M112" s="120">
        <v>139</v>
      </c>
    </row>
    <row r="113" spans="1:13" x14ac:dyDescent="0.2">
      <c r="A113" s="111">
        <v>45629</v>
      </c>
      <c r="B113" s="66" t="s">
        <v>81</v>
      </c>
      <c r="C113" t="s">
        <v>124</v>
      </c>
      <c r="D113" s="50" t="str">
        <f>VLOOKUP(C113,'Food Donor Database'!A:B,2,FALSE)</f>
        <v>Retailer</v>
      </c>
      <c r="E113" t="s">
        <v>146</v>
      </c>
      <c r="F113" t="s">
        <v>432</v>
      </c>
      <c r="G113" s="116">
        <v>4</v>
      </c>
      <c r="H113" s="116" t="s">
        <v>308</v>
      </c>
      <c r="I113" s="116">
        <v>1.55</v>
      </c>
      <c r="J113" s="127">
        <v>46631</v>
      </c>
      <c r="K113" s="132">
        <f t="shared" si="2"/>
        <v>988</v>
      </c>
      <c r="L113" s="50" t="s">
        <v>41</v>
      </c>
      <c r="M113" s="120">
        <v>636</v>
      </c>
    </row>
    <row r="114" spans="1:13" x14ac:dyDescent="0.2">
      <c r="A114" s="111">
        <v>45629</v>
      </c>
      <c r="B114" s="66" t="s">
        <v>81</v>
      </c>
      <c r="C114" s="101" t="s">
        <v>339</v>
      </c>
      <c r="D114" s="104" t="str">
        <f>VLOOKUP(C114,'Food Donor Database'!A:B,2,FALSE)</f>
        <v>Retailer</v>
      </c>
      <c r="E114" t="s">
        <v>149</v>
      </c>
      <c r="F114" t="s">
        <v>348</v>
      </c>
      <c r="G114" s="116">
        <v>76</v>
      </c>
      <c r="H114" s="116" t="s">
        <v>313</v>
      </c>
      <c r="I114" s="116">
        <v>93.35</v>
      </c>
      <c r="J114" s="127" t="s">
        <v>444</v>
      </c>
      <c r="K114" s="127" t="s">
        <v>444</v>
      </c>
      <c r="L114" s="50" t="s">
        <v>41</v>
      </c>
      <c r="M114" s="120">
        <v>0</v>
      </c>
    </row>
    <row r="115" spans="1:13" x14ac:dyDescent="0.2">
      <c r="A115" s="111">
        <v>45629</v>
      </c>
      <c r="B115" s="66" t="s">
        <v>81</v>
      </c>
      <c r="C115" s="101" t="s">
        <v>339</v>
      </c>
      <c r="D115" s="104" t="str">
        <f>VLOOKUP(C115,'Food Donor Database'!A:B,2,FALSE)</f>
        <v>Retailer</v>
      </c>
      <c r="E115" t="s">
        <v>149</v>
      </c>
      <c r="F115" t="s">
        <v>349</v>
      </c>
      <c r="G115" s="116">
        <v>53</v>
      </c>
      <c r="H115" s="116" t="s">
        <v>313</v>
      </c>
      <c r="I115" s="116">
        <v>36.450000000000003</v>
      </c>
      <c r="J115" s="127" t="s">
        <v>444</v>
      </c>
      <c r="K115" s="127" t="s">
        <v>444</v>
      </c>
      <c r="L115" s="50" t="s">
        <v>41</v>
      </c>
      <c r="M115" s="120">
        <v>0</v>
      </c>
    </row>
    <row r="116" spans="1:13" hidden="1" x14ac:dyDescent="0.2">
      <c r="A116" s="109"/>
      <c r="C116" s="3"/>
      <c r="E116" s="3"/>
      <c r="F116" s="3"/>
      <c r="G116" s="116"/>
      <c r="H116" s="116"/>
      <c r="I116" s="116"/>
      <c r="J116" s="123"/>
      <c r="K116" s="110"/>
      <c r="M116" s="121"/>
    </row>
    <row r="117" spans="1:13" hidden="1" x14ac:dyDescent="0.2">
      <c r="A117" s="109"/>
      <c r="C117" s="3"/>
      <c r="E117" s="3"/>
      <c r="F117" s="3"/>
      <c r="G117" s="116"/>
      <c r="H117" s="116"/>
      <c r="I117" s="116"/>
      <c r="J117" s="123"/>
      <c r="K117" s="110"/>
      <c r="M117" s="121"/>
    </row>
    <row r="118" spans="1:13" hidden="1" x14ac:dyDescent="0.2">
      <c r="A118" s="109"/>
      <c r="C118" s="3"/>
      <c r="E118" s="3"/>
      <c r="F118" s="3"/>
      <c r="G118" s="116"/>
      <c r="H118" s="116"/>
      <c r="I118" s="116"/>
      <c r="J118" s="123"/>
      <c r="K118" s="110"/>
      <c r="M118" s="121"/>
    </row>
    <row r="119" spans="1:13" ht="14.5" hidden="1" customHeight="1" x14ac:dyDescent="0.2">
      <c r="A119" s="109"/>
      <c r="C119" s="3"/>
      <c r="E119" s="3"/>
      <c r="F119" s="3"/>
      <c r="G119" s="116"/>
      <c r="H119" s="116"/>
      <c r="I119" s="116"/>
      <c r="J119" s="123"/>
      <c r="K119" s="110"/>
      <c r="M119" s="121"/>
    </row>
    <row r="120" spans="1:13" hidden="1" x14ac:dyDescent="0.2">
      <c r="A120" s="109"/>
      <c r="C120" s="3"/>
      <c r="E120" s="3"/>
      <c r="F120" s="3"/>
      <c r="G120" s="116"/>
      <c r="H120" s="116"/>
      <c r="I120" s="116"/>
      <c r="J120" s="123"/>
      <c r="K120" s="110"/>
      <c r="M120" s="121"/>
    </row>
    <row r="121" spans="1:13" hidden="1" x14ac:dyDescent="0.2">
      <c r="A121" s="109"/>
      <c r="C121" s="3"/>
      <c r="E121" s="3"/>
      <c r="F121" s="3"/>
      <c r="G121" s="116"/>
      <c r="H121" s="116"/>
      <c r="I121" s="116"/>
      <c r="J121" s="123"/>
      <c r="K121" s="110"/>
      <c r="M121" s="121"/>
    </row>
    <row r="122" spans="1:13" hidden="1" x14ac:dyDescent="0.2">
      <c r="A122" s="109"/>
      <c r="C122" s="3"/>
      <c r="E122" s="3"/>
      <c r="F122" s="3"/>
      <c r="G122" s="116"/>
      <c r="H122" s="116"/>
      <c r="I122" s="116"/>
      <c r="J122" s="123"/>
      <c r="K122" s="110"/>
      <c r="M122" s="121"/>
    </row>
    <row r="123" spans="1:13" hidden="1" x14ac:dyDescent="0.2">
      <c r="A123" s="109"/>
      <c r="C123" s="3"/>
      <c r="E123" s="3"/>
      <c r="F123" s="3"/>
      <c r="G123" s="116"/>
      <c r="H123" s="116"/>
      <c r="I123" s="116"/>
      <c r="J123" s="123"/>
      <c r="K123" s="110"/>
      <c r="M123" s="121"/>
    </row>
    <row r="124" spans="1:13" hidden="1" x14ac:dyDescent="0.2">
      <c r="A124" s="109"/>
      <c r="C124" s="3"/>
      <c r="E124" s="3"/>
      <c r="F124" s="3"/>
      <c r="G124" s="116"/>
      <c r="H124" s="116"/>
      <c r="I124" s="116"/>
      <c r="J124" s="123"/>
      <c r="K124" s="110"/>
      <c r="M124" s="121"/>
    </row>
    <row r="125" spans="1:13" hidden="1" x14ac:dyDescent="0.2">
      <c r="A125" s="109"/>
      <c r="C125" s="3"/>
      <c r="E125" s="3"/>
      <c r="F125" s="3"/>
      <c r="G125" s="116"/>
      <c r="H125" s="116"/>
      <c r="I125" s="116"/>
      <c r="J125" s="123"/>
      <c r="K125" s="110"/>
      <c r="M125" s="121"/>
    </row>
    <row r="126" spans="1:13" hidden="1" x14ac:dyDescent="0.2">
      <c r="A126" s="109"/>
      <c r="C126" s="3"/>
      <c r="E126" s="3"/>
      <c r="F126" s="3"/>
      <c r="G126" s="116"/>
      <c r="H126" s="116"/>
      <c r="I126" s="116"/>
      <c r="J126" s="123"/>
      <c r="K126" s="110"/>
      <c r="M126" s="121"/>
    </row>
    <row r="127" spans="1:13" hidden="1" x14ac:dyDescent="0.2">
      <c r="A127" s="109"/>
      <c r="C127" s="3"/>
      <c r="E127" s="3"/>
      <c r="F127" s="3"/>
      <c r="G127" s="116"/>
      <c r="H127" s="116"/>
      <c r="I127" s="116"/>
      <c r="J127" s="123"/>
      <c r="K127" s="110"/>
      <c r="M127" s="121"/>
    </row>
    <row r="128" spans="1:13" hidden="1" x14ac:dyDescent="0.2">
      <c r="A128" s="109"/>
      <c r="C128" s="3"/>
      <c r="E128" s="3"/>
      <c r="F128" s="3"/>
      <c r="G128" s="116"/>
      <c r="H128" s="116"/>
      <c r="I128" s="116"/>
      <c r="J128" s="123"/>
      <c r="K128" s="110"/>
      <c r="M128" s="121"/>
    </row>
    <row r="129" spans="1:13" hidden="1" x14ac:dyDescent="0.2">
      <c r="A129" s="109"/>
      <c r="C129" s="3"/>
      <c r="E129" s="3"/>
      <c r="F129" s="3"/>
      <c r="G129" s="116"/>
      <c r="H129" s="116"/>
      <c r="I129" s="116"/>
      <c r="J129" s="123"/>
      <c r="K129" s="110"/>
      <c r="M129" s="121"/>
    </row>
    <row r="130" spans="1:13" hidden="1" x14ac:dyDescent="0.2">
      <c r="A130" s="109"/>
      <c r="C130" s="3"/>
      <c r="E130" s="3"/>
      <c r="F130" s="3"/>
      <c r="G130" s="116"/>
      <c r="H130" s="116"/>
      <c r="I130" s="116"/>
      <c r="J130" s="123"/>
      <c r="K130" s="110"/>
      <c r="M130" s="121"/>
    </row>
    <row r="131" spans="1:13" hidden="1" x14ac:dyDescent="0.2">
      <c r="A131" s="109"/>
      <c r="C131" s="3"/>
      <c r="E131" s="3"/>
      <c r="F131" s="3"/>
      <c r="G131" s="116"/>
      <c r="H131" s="116"/>
      <c r="I131" s="116"/>
      <c r="J131" s="123"/>
      <c r="K131" s="110"/>
      <c r="M131" s="121"/>
    </row>
    <row r="132" spans="1:13" hidden="1" x14ac:dyDescent="0.2">
      <c r="A132" s="109"/>
      <c r="C132" s="3"/>
      <c r="E132" s="3"/>
      <c r="F132" s="3"/>
      <c r="G132" s="116"/>
      <c r="H132" s="116"/>
      <c r="I132" s="116"/>
      <c r="J132" s="123"/>
      <c r="K132" s="110"/>
      <c r="M132" s="121"/>
    </row>
    <row r="133" spans="1:13" hidden="1" x14ac:dyDescent="0.2">
      <c r="A133" s="109"/>
      <c r="C133" s="3"/>
      <c r="E133" s="3"/>
      <c r="F133" s="3"/>
      <c r="G133" s="116"/>
      <c r="H133" s="116"/>
      <c r="I133" s="116"/>
      <c r="J133" s="123"/>
      <c r="K133" s="110"/>
      <c r="M133" s="121"/>
    </row>
    <row r="134" spans="1:13" hidden="1" x14ac:dyDescent="0.2">
      <c r="A134" s="109"/>
      <c r="C134" s="3"/>
      <c r="E134" s="3"/>
      <c r="F134" s="3"/>
      <c r="G134" s="116"/>
      <c r="H134" s="116"/>
      <c r="I134" s="116"/>
      <c r="J134" s="123"/>
      <c r="K134" s="110"/>
      <c r="M134" s="121"/>
    </row>
    <row r="135" spans="1:13" hidden="1" x14ac:dyDescent="0.2">
      <c r="A135" s="109"/>
      <c r="C135" s="3"/>
      <c r="E135" s="3"/>
      <c r="F135" s="3"/>
      <c r="G135" s="116"/>
      <c r="H135" s="116"/>
      <c r="I135" s="116"/>
      <c r="J135" s="123"/>
      <c r="K135" s="110"/>
      <c r="M135" s="121"/>
    </row>
    <row r="136" spans="1:13" hidden="1" x14ac:dyDescent="0.2">
      <c r="A136" s="109"/>
      <c r="C136" s="3"/>
      <c r="E136" s="3"/>
      <c r="F136" s="3"/>
      <c r="G136" s="116"/>
      <c r="H136" s="116"/>
      <c r="I136" s="116"/>
      <c r="J136" s="123"/>
      <c r="K136" s="110"/>
      <c r="M136" s="121"/>
    </row>
    <row r="137" spans="1:13" hidden="1" x14ac:dyDescent="0.2">
      <c r="A137" s="109"/>
      <c r="C137" s="3"/>
      <c r="E137" s="3"/>
      <c r="F137" s="3"/>
      <c r="G137" s="116"/>
      <c r="H137" s="116"/>
      <c r="I137" s="116"/>
      <c r="J137" s="123"/>
      <c r="K137" s="110"/>
      <c r="M137" s="121"/>
    </row>
    <row r="138" spans="1:13" hidden="1" x14ac:dyDescent="0.2">
      <c r="A138" s="109"/>
      <c r="C138" s="3"/>
      <c r="E138" s="3"/>
      <c r="F138" s="3"/>
      <c r="G138" s="116"/>
      <c r="H138" s="116"/>
      <c r="I138" s="116"/>
      <c r="J138" s="123"/>
      <c r="K138" s="110"/>
      <c r="M138" s="121"/>
    </row>
    <row r="139" spans="1:13" hidden="1" x14ac:dyDescent="0.2">
      <c r="A139" s="109"/>
      <c r="C139" s="3"/>
      <c r="E139" s="3"/>
      <c r="F139" s="3"/>
      <c r="G139" s="116"/>
      <c r="H139" s="116"/>
      <c r="I139" s="116"/>
      <c r="J139" s="123"/>
      <c r="K139" s="110"/>
      <c r="M139" s="121"/>
    </row>
    <row r="140" spans="1:13" hidden="1" x14ac:dyDescent="0.2">
      <c r="A140" s="109"/>
      <c r="C140" s="3"/>
      <c r="E140" s="3"/>
      <c r="F140" s="3"/>
      <c r="G140" s="116"/>
      <c r="H140" s="116"/>
      <c r="I140" s="116"/>
      <c r="J140" s="123"/>
      <c r="K140" s="110"/>
      <c r="M140" s="121"/>
    </row>
    <row r="141" spans="1:13" hidden="1" x14ac:dyDescent="0.2">
      <c r="A141" s="109"/>
      <c r="C141" s="3"/>
      <c r="E141" s="3"/>
      <c r="F141" s="3"/>
      <c r="G141" s="116"/>
      <c r="H141" s="116"/>
      <c r="I141" s="116"/>
      <c r="J141" s="123"/>
      <c r="K141" s="110"/>
      <c r="M141" s="121"/>
    </row>
    <row r="142" spans="1:13" hidden="1" x14ac:dyDescent="0.2">
      <c r="A142" s="109"/>
      <c r="C142" s="3"/>
      <c r="E142" s="3"/>
      <c r="F142" s="3"/>
      <c r="G142" s="116"/>
      <c r="H142" s="116"/>
      <c r="I142" s="116"/>
      <c r="J142" s="123"/>
      <c r="K142" s="110"/>
      <c r="M142" s="121"/>
    </row>
    <row r="143" spans="1:13" hidden="1" x14ac:dyDescent="0.2">
      <c r="A143" s="109"/>
      <c r="C143" s="3"/>
      <c r="E143" s="3"/>
      <c r="F143" s="3"/>
      <c r="G143" s="116"/>
      <c r="H143" s="116"/>
      <c r="I143" s="116"/>
      <c r="J143" s="123"/>
      <c r="K143" s="110"/>
      <c r="M143" s="121"/>
    </row>
    <row r="144" spans="1:13" hidden="1" x14ac:dyDescent="0.2">
      <c r="A144" s="109"/>
      <c r="C144" s="3"/>
      <c r="E144" s="3"/>
      <c r="F144" s="3"/>
      <c r="G144" s="116"/>
      <c r="H144" s="116"/>
      <c r="I144" s="116"/>
      <c r="J144" s="123"/>
      <c r="K144" s="110"/>
      <c r="M144" s="121"/>
    </row>
    <row r="145" spans="1:13" hidden="1" x14ac:dyDescent="0.2">
      <c r="A145" s="109"/>
      <c r="C145" s="3"/>
      <c r="E145" s="3"/>
      <c r="F145" s="3"/>
      <c r="G145" s="116"/>
      <c r="H145" s="116"/>
      <c r="I145" s="116"/>
      <c r="J145" s="123"/>
      <c r="K145" s="110"/>
      <c r="M145" s="121"/>
    </row>
    <row r="146" spans="1:13" hidden="1" x14ac:dyDescent="0.2">
      <c r="A146" s="109"/>
      <c r="C146" s="3"/>
      <c r="E146" s="3"/>
      <c r="F146" s="3"/>
      <c r="G146" s="116"/>
      <c r="H146" s="116"/>
      <c r="I146" s="116"/>
      <c r="J146" s="123"/>
      <c r="K146" s="110"/>
      <c r="M146" s="121"/>
    </row>
    <row r="147" spans="1:13" hidden="1" x14ac:dyDescent="0.2">
      <c r="A147" s="109"/>
      <c r="C147" s="3"/>
      <c r="E147" s="3"/>
      <c r="F147" s="3"/>
      <c r="G147" s="116"/>
      <c r="H147" s="116"/>
      <c r="I147" s="116"/>
      <c r="J147" s="123"/>
      <c r="K147" s="110"/>
      <c r="M147" s="121"/>
    </row>
    <row r="148" spans="1:13" hidden="1" x14ac:dyDescent="0.2">
      <c r="A148" s="109"/>
      <c r="C148" s="3"/>
      <c r="E148" s="3"/>
      <c r="F148" s="3"/>
      <c r="G148" s="116"/>
      <c r="H148" s="116"/>
      <c r="I148" s="116"/>
      <c r="J148" s="123"/>
      <c r="K148" s="110"/>
      <c r="M148" s="121"/>
    </row>
    <row r="149" spans="1:13" hidden="1" x14ac:dyDescent="0.2">
      <c r="A149" s="109"/>
      <c r="C149" s="3"/>
      <c r="E149" s="3"/>
      <c r="F149" s="3"/>
      <c r="G149" s="116"/>
      <c r="H149" s="116"/>
      <c r="I149" s="116"/>
      <c r="J149" s="123"/>
      <c r="K149" s="110"/>
      <c r="M149" s="121"/>
    </row>
    <row r="150" spans="1:13" hidden="1" x14ac:dyDescent="0.2">
      <c r="A150" s="109"/>
      <c r="C150" s="3"/>
      <c r="E150" s="3"/>
      <c r="F150" s="3"/>
      <c r="G150" s="116"/>
      <c r="H150" s="116"/>
      <c r="I150" s="116"/>
      <c r="J150" s="123"/>
      <c r="K150" s="110"/>
      <c r="M150" s="121"/>
    </row>
    <row r="151" spans="1:13" hidden="1" x14ac:dyDescent="0.2">
      <c r="A151" s="109"/>
      <c r="C151" s="3"/>
      <c r="E151" s="3"/>
      <c r="F151" s="3"/>
      <c r="G151" s="116"/>
      <c r="H151" s="116"/>
      <c r="I151" s="116"/>
      <c r="J151" s="123"/>
      <c r="K151" s="110"/>
      <c r="M151" s="121"/>
    </row>
    <row r="152" spans="1:13" hidden="1" x14ac:dyDescent="0.2">
      <c r="A152" s="109"/>
      <c r="C152" s="3"/>
      <c r="E152" s="3"/>
      <c r="F152" s="3"/>
      <c r="G152" s="116"/>
      <c r="H152" s="116"/>
      <c r="I152" s="116"/>
      <c r="J152" s="123"/>
      <c r="K152" s="110"/>
      <c r="M152" s="121"/>
    </row>
    <row r="153" spans="1:13" hidden="1" x14ac:dyDescent="0.2">
      <c r="A153" s="109"/>
      <c r="C153" s="3"/>
      <c r="E153" s="3"/>
      <c r="F153" s="3"/>
      <c r="G153" s="116"/>
      <c r="H153" s="116"/>
      <c r="I153" s="116"/>
      <c r="J153" s="123"/>
      <c r="K153" s="110"/>
      <c r="M153" s="121"/>
    </row>
    <row r="154" spans="1:13" hidden="1" x14ac:dyDescent="0.2">
      <c r="A154" s="109"/>
      <c r="C154" s="3"/>
      <c r="E154" s="3"/>
      <c r="F154" s="3"/>
      <c r="G154" s="116"/>
      <c r="H154" s="116"/>
      <c r="I154" s="116"/>
      <c r="J154" s="123"/>
      <c r="K154" s="110"/>
      <c r="M154" s="121"/>
    </row>
    <row r="155" spans="1:13" hidden="1" x14ac:dyDescent="0.2">
      <c r="A155" s="109"/>
      <c r="C155" s="3"/>
      <c r="E155" s="3"/>
      <c r="F155" s="3"/>
      <c r="G155" s="116"/>
      <c r="H155" s="116"/>
      <c r="I155" s="116"/>
      <c r="J155" s="123"/>
      <c r="K155" s="110"/>
      <c r="M155" s="121"/>
    </row>
    <row r="156" spans="1:13" hidden="1" x14ac:dyDescent="0.2">
      <c r="A156" s="109"/>
      <c r="C156" s="3"/>
      <c r="E156" s="3"/>
      <c r="F156" s="3"/>
      <c r="G156" s="116"/>
      <c r="H156" s="116"/>
      <c r="I156" s="116"/>
      <c r="J156" s="123"/>
      <c r="K156" s="110"/>
      <c r="M156" s="121"/>
    </row>
    <row r="157" spans="1:13" hidden="1" x14ac:dyDescent="0.2">
      <c r="A157" s="109"/>
      <c r="C157" s="3"/>
      <c r="E157" s="3"/>
      <c r="F157" s="3"/>
      <c r="G157" s="116"/>
      <c r="H157" s="116"/>
      <c r="I157" s="116"/>
      <c r="J157" s="123"/>
      <c r="K157" s="110"/>
      <c r="M157" s="121"/>
    </row>
    <row r="158" spans="1:13" hidden="1" x14ac:dyDescent="0.2">
      <c r="A158" s="109"/>
      <c r="C158" s="3"/>
      <c r="E158" s="3"/>
      <c r="F158" s="3"/>
      <c r="G158" s="116"/>
      <c r="H158" s="116"/>
      <c r="I158" s="116"/>
      <c r="J158" s="123"/>
      <c r="K158" s="110"/>
      <c r="M158" s="121"/>
    </row>
    <row r="159" spans="1:13" hidden="1" x14ac:dyDescent="0.2">
      <c r="A159" s="109"/>
      <c r="C159" s="3"/>
      <c r="E159" s="3"/>
      <c r="F159" s="3"/>
      <c r="G159" s="116"/>
      <c r="H159" s="116"/>
      <c r="I159" s="116"/>
      <c r="J159" s="123"/>
      <c r="K159" s="110"/>
      <c r="M159" s="121"/>
    </row>
    <row r="160" spans="1:13" hidden="1" x14ac:dyDescent="0.2">
      <c r="A160" s="109"/>
      <c r="C160" s="3"/>
      <c r="E160" s="3"/>
      <c r="F160" s="3"/>
      <c r="G160" s="116"/>
      <c r="H160" s="116"/>
      <c r="I160" s="116"/>
      <c r="J160" s="123"/>
      <c r="K160" s="110"/>
      <c r="M160" s="121"/>
    </row>
    <row r="161" spans="1:13" hidden="1" x14ac:dyDescent="0.2">
      <c r="A161" s="109"/>
      <c r="C161" s="3"/>
      <c r="E161" s="3"/>
      <c r="F161" s="3"/>
      <c r="G161" s="116"/>
      <c r="H161" s="116"/>
      <c r="I161" s="116"/>
      <c r="J161" s="123"/>
      <c r="K161" s="110"/>
      <c r="M161" s="121"/>
    </row>
    <row r="162" spans="1:13" hidden="1" x14ac:dyDescent="0.2">
      <c r="A162" s="109"/>
      <c r="C162" s="3"/>
      <c r="E162" s="3"/>
      <c r="F162" s="3"/>
      <c r="G162" s="116"/>
      <c r="H162" s="116"/>
      <c r="I162" s="116"/>
      <c r="J162" s="123"/>
      <c r="K162" s="110"/>
      <c r="M162" s="121"/>
    </row>
    <row r="163" spans="1:13" hidden="1" x14ac:dyDescent="0.2">
      <c r="A163" s="109"/>
      <c r="C163" s="3"/>
      <c r="E163" s="3"/>
      <c r="F163" s="3"/>
      <c r="G163" s="116"/>
      <c r="H163" s="116"/>
      <c r="I163" s="116"/>
      <c r="J163" s="123"/>
      <c r="K163" s="110"/>
      <c r="M163" s="121"/>
    </row>
    <row r="164" spans="1:13" hidden="1" x14ac:dyDescent="0.2">
      <c r="A164" s="109"/>
      <c r="C164" s="3"/>
      <c r="E164" s="3"/>
      <c r="F164" s="3"/>
      <c r="G164" s="116"/>
      <c r="H164" s="116"/>
      <c r="I164" s="116"/>
      <c r="J164" s="123"/>
      <c r="K164" s="110"/>
      <c r="M164" s="121"/>
    </row>
    <row r="165" spans="1:13" hidden="1" x14ac:dyDescent="0.2">
      <c r="A165" s="109"/>
      <c r="C165" s="3"/>
      <c r="E165" s="3"/>
      <c r="F165" s="3"/>
      <c r="G165" s="116"/>
      <c r="H165" s="116"/>
      <c r="I165" s="116"/>
      <c r="J165" s="123"/>
      <c r="K165" s="110"/>
      <c r="M165" s="121"/>
    </row>
    <row r="166" spans="1:13" hidden="1" x14ac:dyDescent="0.2">
      <c r="A166" s="109"/>
      <c r="C166" s="3"/>
      <c r="E166" s="3"/>
      <c r="F166" s="3"/>
      <c r="G166" s="116"/>
      <c r="H166" s="116"/>
      <c r="I166" s="116"/>
      <c r="J166" s="123"/>
      <c r="K166" s="110"/>
      <c r="M166" s="121"/>
    </row>
    <row r="167" spans="1:13" hidden="1" x14ac:dyDescent="0.2">
      <c r="A167" s="109"/>
      <c r="C167" s="3"/>
      <c r="E167" s="3"/>
      <c r="F167" s="3"/>
      <c r="G167" s="116"/>
      <c r="H167" s="116"/>
      <c r="I167" s="116"/>
      <c r="J167" s="123"/>
      <c r="K167" s="110"/>
      <c r="M167" s="121"/>
    </row>
    <row r="168" spans="1:13" hidden="1" x14ac:dyDescent="0.2">
      <c r="A168" s="109"/>
      <c r="C168" s="3"/>
      <c r="E168" s="3"/>
      <c r="F168" s="3"/>
      <c r="G168" s="116"/>
      <c r="H168" s="116"/>
      <c r="I168" s="116"/>
      <c r="J168" s="123"/>
      <c r="K168" s="110"/>
      <c r="M168" s="121"/>
    </row>
    <row r="169" spans="1:13" hidden="1" x14ac:dyDescent="0.2">
      <c r="A169" s="109"/>
      <c r="C169" s="3"/>
      <c r="E169" s="3"/>
      <c r="F169" s="3"/>
      <c r="G169" s="116"/>
      <c r="H169" s="116"/>
      <c r="I169" s="116"/>
      <c r="J169" s="123"/>
      <c r="K169" s="110"/>
      <c r="M169" s="121"/>
    </row>
    <row r="170" spans="1:13" hidden="1" x14ac:dyDescent="0.2">
      <c r="A170" s="109"/>
      <c r="C170" s="3"/>
      <c r="E170" s="3"/>
      <c r="F170" s="3"/>
      <c r="G170" s="116"/>
      <c r="H170" s="116"/>
      <c r="I170" s="116"/>
      <c r="J170" s="123"/>
      <c r="K170" s="110"/>
      <c r="M170" s="121"/>
    </row>
    <row r="171" spans="1:13" hidden="1" x14ac:dyDescent="0.2">
      <c r="A171" s="109"/>
      <c r="C171" s="3"/>
      <c r="E171" s="3"/>
      <c r="F171" s="3"/>
      <c r="G171" s="116"/>
      <c r="H171" s="116"/>
      <c r="I171" s="116"/>
      <c r="J171" s="123"/>
      <c r="K171" s="110"/>
      <c r="M171" s="121"/>
    </row>
    <row r="172" spans="1:13" hidden="1" x14ac:dyDescent="0.2">
      <c r="A172" s="109"/>
      <c r="C172" s="3"/>
      <c r="E172" s="3"/>
      <c r="F172" s="3"/>
      <c r="G172" s="116"/>
      <c r="H172" s="116"/>
      <c r="I172" s="116"/>
      <c r="J172" s="123"/>
      <c r="K172" s="110"/>
      <c r="M172" s="121"/>
    </row>
    <row r="173" spans="1:13" hidden="1" x14ac:dyDescent="0.2">
      <c r="A173" s="109"/>
      <c r="C173" s="3"/>
      <c r="E173" s="3"/>
      <c r="F173" s="3"/>
      <c r="G173" s="116"/>
      <c r="H173" s="116"/>
      <c r="I173" s="116"/>
      <c r="J173" s="123"/>
      <c r="K173" s="110"/>
      <c r="M173" s="121"/>
    </row>
    <row r="174" spans="1:13" hidden="1" x14ac:dyDescent="0.2">
      <c r="A174" s="109"/>
      <c r="C174" s="3"/>
      <c r="E174" s="3"/>
      <c r="F174" s="3"/>
      <c r="G174" s="116"/>
      <c r="H174" s="116"/>
      <c r="I174" s="116"/>
      <c r="J174" s="123"/>
      <c r="K174" s="110"/>
      <c r="M174" s="121"/>
    </row>
    <row r="175" spans="1:13" hidden="1" x14ac:dyDescent="0.2">
      <c r="A175" s="109"/>
      <c r="C175" s="3"/>
      <c r="E175" s="3"/>
      <c r="F175" s="3"/>
      <c r="G175" s="116"/>
      <c r="H175" s="116"/>
      <c r="I175" s="116"/>
      <c r="J175" s="123"/>
      <c r="K175" s="110"/>
      <c r="M175" s="121"/>
    </row>
    <row r="176" spans="1:13" hidden="1" x14ac:dyDescent="0.2">
      <c r="A176" s="109"/>
      <c r="C176" s="3"/>
      <c r="E176" s="3"/>
      <c r="F176" s="3"/>
      <c r="G176" s="116"/>
      <c r="H176" s="116"/>
      <c r="I176" s="116"/>
      <c r="J176" s="123"/>
      <c r="K176" s="110"/>
      <c r="M176" s="121"/>
    </row>
    <row r="177" spans="1:13" hidden="1" x14ac:dyDescent="0.2">
      <c r="A177" s="109"/>
      <c r="C177" s="3"/>
      <c r="E177" s="3"/>
      <c r="F177" s="3"/>
      <c r="G177" s="116"/>
      <c r="H177" s="116"/>
      <c r="I177" s="116"/>
      <c r="J177" s="123"/>
      <c r="K177" s="110"/>
      <c r="M177" s="121"/>
    </row>
    <row r="178" spans="1:13" hidden="1" x14ac:dyDescent="0.2">
      <c r="A178" s="109"/>
      <c r="C178" s="3"/>
      <c r="E178" s="3"/>
      <c r="F178" s="3"/>
      <c r="G178" s="116"/>
      <c r="H178" s="116"/>
      <c r="I178" s="116"/>
      <c r="J178" s="123"/>
      <c r="K178" s="110"/>
      <c r="M178" s="121"/>
    </row>
    <row r="179" spans="1:13" hidden="1" x14ac:dyDescent="0.2">
      <c r="A179" s="109"/>
      <c r="C179" s="3"/>
      <c r="E179" s="3"/>
      <c r="F179" s="3"/>
      <c r="G179" s="116"/>
      <c r="H179" s="116"/>
      <c r="I179" s="116"/>
      <c r="J179" s="123"/>
      <c r="K179" s="110"/>
      <c r="M179" s="121"/>
    </row>
    <row r="180" spans="1:13" hidden="1" x14ac:dyDescent="0.2">
      <c r="A180" s="109"/>
      <c r="C180" s="3"/>
      <c r="E180" s="3"/>
      <c r="F180" s="3"/>
      <c r="G180" s="116"/>
      <c r="H180" s="116"/>
      <c r="I180" s="116"/>
      <c r="J180" s="123"/>
      <c r="K180" s="110"/>
      <c r="M180" s="121"/>
    </row>
    <row r="181" spans="1:13" hidden="1" x14ac:dyDescent="0.2">
      <c r="A181" s="109"/>
      <c r="C181" s="3"/>
      <c r="E181" s="3"/>
      <c r="F181" s="3"/>
      <c r="G181" s="116"/>
      <c r="H181" s="116"/>
      <c r="I181" s="116"/>
      <c r="J181" s="123"/>
      <c r="K181" s="110"/>
      <c r="M181" s="121"/>
    </row>
    <row r="182" spans="1:13" hidden="1" x14ac:dyDescent="0.2">
      <c r="A182" s="109"/>
      <c r="C182" s="3"/>
      <c r="E182" s="3"/>
      <c r="F182" s="3"/>
      <c r="G182" s="116"/>
      <c r="H182" s="116"/>
      <c r="I182" s="116"/>
      <c r="J182" s="123"/>
      <c r="K182" s="110"/>
      <c r="M182" s="121"/>
    </row>
    <row r="183" spans="1:13" hidden="1" x14ac:dyDescent="0.2">
      <c r="A183" s="109"/>
      <c r="C183" s="3"/>
      <c r="E183" s="3"/>
      <c r="F183" s="3"/>
      <c r="G183" s="116"/>
      <c r="H183" s="116"/>
      <c r="I183" s="116"/>
      <c r="J183" s="123"/>
      <c r="K183" s="110"/>
      <c r="M183" s="121"/>
    </row>
    <row r="184" spans="1:13" hidden="1" x14ac:dyDescent="0.2">
      <c r="A184" s="109"/>
      <c r="C184" s="3"/>
      <c r="E184" s="3"/>
      <c r="F184" s="3"/>
      <c r="G184" s="116"/>
      <c r="H184" s="116"/>
      <c r="I184" s="116"/>
      <c r="J184" s="123"/>
      <c r="K184" s="110"/>
      <c r="M184" s="121"/>
    </row>
    <row r="185" spans="1:13" hidden="1" x14ac:dyDescent="0.2">
      <c r="A185" s="109"/>
      <c r="C185" s="3"/>
      <c r="E185" s="3"/>
      <c r="F185" s="3"/>
      <c r="G185" s="116"/>
      <c r="H185" s="116"/>
      <c r="I185" s="116"/>
      <c r="J185" s="123"/>
      <c r="K185" s="110"/>
      <c r="M185" s="121"/>
    </row>
    <row r="186" spans="1:13" hidden="1" x14ac:dyDescent="0.2">
      <c r="A186" s="109"/>
      <c r="C186" s="3"/>
      <c r="E186" s="3"/>
      <c r="F186" s="3"/>
      <c r="G186" s="116"/>
      <c r="H186" s="116"/>
      <c r="I186" s="116"/>
      <c r="J186" s="123"/>
      <c r="K186" s="110"/>
      <c r="M186" s="121"/>
    </row>
    <row r="187" spans="1:13" hidden="1" x14ac:dyDescent="0.2">
      <c r="A187" s="109"/>
      <c r="C187" s="3"/>
      <c r="E187" s="3"/>
      <c r="F187" s="3"/>
      <c r="G187" s="116"/>
      <c r="H187" s="116"/>
      <c r="I187" s="116"/>
      <c r="J187" s="123"/>
      <c r="K187" s="110"/>
      <c r="M187" s="121"/>
    </row>
    <row r="188" spans="1:13" hidden="1" x14ac:dyDescent="0.2">
      <c r="A188" s="109"/>
      <c r="C188" s="3"/>
      <c r="E188" s="3"/>
      <c r="F188" s="3"/>
      <c r="G188" s="116"/>
      <c r="H188" s="116"/>
      <c r="I188" s="116"/>
      <c r="J188" s="123"/>
      <c r="K188" s="110"/>
      <c r="M188" s="121"/>
    </row>
    <row r="189" spans="1:13" hidden="1" x14ac:dyDescent="0.2">
      <c r="A189" s="109"/>
      <c r="C189" s="3"/>
      <c r="E189" s="3"/>
      <c r="F189" s="3"/>
      <c r="G189" s="116"/>
      <c r="H189" s="116"/>
      <c r="I189" s="116"/>
      <c r="J189" s="123"/>
      <c r="K189" s="110"/>
      <c r="M189" s="121"/>
    </row>
    <row r="190" spans="1:13" hidden="1" x14ac:dyDescent="0.2">
      <c r="A190" s="109"/>
      <c r="C190" s="3"/>
      <c r="E190" s="3"/>
      <c r="F190" s="3"/>
      <c r="G190" s="116"/>
      <c r="H190" s="116"/>
      <c r="I190" s="116"/>
      <c r="J190" s="123"/>
      <c r="K190" s="110"/>
      <c r="M190" s="121"/>
    </row>
    <row r="191" spans="1:13" hidden="1" x14ac:dyDescent="0.2">
      <c r="A191" s="109"/>
      <c r="C191" s="3"/>
      <c r="E191" s="3"/>
      <c r="F191" s="3"/>
      <c r="G191" s="116"/>
      <c r="H191" s="116"/>
      <c r="I191" s="116"/>
      <c r="J191" s="123"/>
      <c r="K191" s="110"/>
      <c r="M191" s="121"/>
    </row>
    <row r="192" spans="1:13" hidden="1" x14ac:dyDescent="0.2">
      <c r="A192" s="109"/>
      <c r="C192" s="3"/>
      <c r="E192" s="3"/>
      <c r="F192" s="3"/>
      <c r="G192" s="116"/>
      <c r="H192" s="116"/>
      <c r="I192" s="116"/>
      <c r="J192" s="123"/>
      <c r="K192" s="110"/>
      <c r="M192" s="121"/>
    </row>
    <row r="193" spans="1:13" hidden="1" x14ac:dyDescent="0.2">
      <c r="A193" s="109"/>
      <c r="C193" s="3"/>
      <c r="E193" s="3"/>
      <c r="F193" s="3"/>
      <c r="G193" s="116"/>
      <c r="H193" s="116"/>
      <c r="I193" s="116"/>
      <c r="J193" s="123"/>
      <c r="K193" s="110"/>
      <c r="M193" s="121"/>
    </row>
    <row r="194" spans="1:13" hidden="1" x14ac:dyDescent="0.2">
      <c r="A194" s="109"/>
      <c r="C194" s="3"/>
      <c r="E194" s="3"/>
      <c r="F194" s="3"/>
      <c r="G194" s="116"/>
      <c r="H194" s="116"/>
      <c r="I194" s="116"/>
      <c r="J194" s="123"/>
      <c r="K194" s="110"/>
      <c r="M194" s="121"/>
    </row>
    <row r="195" spans="1:13" hidden="1" x14ac:dyDescent="0.2">
      <c r="A195" s="109"/>
      <c r="C195" s="3"/>
      <c r="E195" s="3"/>
      <c r="F195" s="3"/>
      <c r="G195" s="116"/>
      <c r="H195" s="116"/>
      <c r="I195" s="116"/>
      <c r="J195" s="123"/>
      <c r="K195" s="110"/>
      <c r="M195" s="121"/>
    </row>
    <row r="196" spans="1:13" hidden="1" x14ac:dyDescent="0.2">
      <c r="A196" s="109"/>
      <c r="C196" s="3"/>
      <c r="E196" s="3"/>
      <c r="F196" s="3"/>
      <c r="G196" s="116"/>
      <c r="H196" s="116"/>
      <c r="I196" s="116"/>
      <c r="J196" s="123"/>
      <c r="K196" s="110"/>
      <c r="M196" s="121"/>
    </row>
    <row r="197" spans="1:13" hidden="1" x14ac:dyDescent="0.2">
      <c r="A197" s="109"/>
      <c r="C197" s="3"/>
      <c r="E197" s="3"/>
      <c r="F197" s="3"/>
      <c r="G197" s="116"/>
      <c r="H197" s="116"/>
      <c r="I197" s="116"/>
      <c r="J197" s="123"/>
      <c r="K197" s="110"/>
      <c r="M197" s="121"/>
    </row>
    <row r="198" spans="1:13" hidden="1" x14ac:dyDescent="0.2">
      <c r="A198" s="109"/>
      <c r="C198" s="3"/>
      <c r="E198" s="3"/>
      <c r="F198" s="3"/>
      <c r="G198" s="116"/>
      <c r="H198" s="116"/>
      <c r="I198" s="116"/>
      <c r="J198" s="123"/>
      <c r="K198" s="110"/>
      <c r="M198" s="121"/>
    </row>
    <row r="199" spans="1:13" hidden="1" x14ac:dyDescent="0.2">
      <c r="A199" s="109"/>
      <c r="C199" s="3"/>
      <c r="E199" s="3"/>
      <c r="F199" s="3"/>
      <c r="G199" s="116"/>
      <c r="H199" s="116"/>
      <c r="I199" s="116"/>
      <c r="J199" s="123"/>
      <c r="K199" s="110"/>
      <c r="M199" s="121"/>
    </row>
    <row r="200" spans="1:13" hidden="1" x14ac:dyDescent="0.2">
      <c r="A200" s="109"/>
      <c r="C200" s="3"/>
      <c r="E200" s="3"/>
      <c r="F200" s="3"/>
      <c r="G200" s="116"/>
      <c r="H200" s="116"/>
      <c r="I200" s="116"/>
      <c r="J200" s="123"/>
      <c r="K200" s="110"/>
      <c r="M200" s="121"/>
    </row>
    <row r="201" spans="1:13" hidden="1" x14ac:dyDescent="0.2">
      <c r="A201" s="109"/>
      <c r="C201" s="3"/>
      <c r="E201" s="3"/>
      <c r="F201" s="3"/>
      <c r="G201" s="116"/>
      <c r="H201" s="116"/>
      <c r="I201" s="116"/>
      <c r="J201" s="123"/>
      <c r="K201" s="110"/>
      <c r="M201" s="121"/>
    </row>
    <row r="202" spans="1:13" hidden="1" x14ac:dyDescent="0.2">
      <c r="A202" s="109"/>
      <c r="C202" s="3"/>
      <c r="E202" s="3"/>
      <c r="F202" s="3"/>
      <c r="G202" s="116"/>
      <c r="H202" s="116"/>
      <c r="I202" s="116"/>
      <c r="J202" s="123"/>
      <c r="K202" s="110"/>
      <c r="M202" s="121"/>
    </row>
    <row r="203" spans="1:13" hidden="1" x14ac:dyDescent="0.2">
      <c r="A203" s="109"/>
      <c r="C203" s="3"/>
      <c r="E203" s="3"/>
      <c r="F203" s="3"/>
      <c r="G203" s="116"/>
      <c r="H203" s="116"/>
      <c r="I203" s="116"/>
      <c r="J203" s="123"/>
      <c r="K203" s="110"/>
      <c r="M203" s="121"/>
    </row>
    <row r="204" spans="1:13" hidden="1" x14ac:dyDescent="0.2">
      <c r="A204" s="109"/>
      <c r="C204" s="3"/>
      <c r="E204" s="3"/>
      <c r="F204" s="3"/>
      <c r="G204" s="116"/>
      <c r="H204" s="116"/>
      <c r="I204" s="116"/>
      <c r="J204" s="123"/>
      <c r="K204" s="110"/>
      <c r="M204" s="121"/>
    </row>
    <row r="205" spans="1:13" hidden="1" x14ac:dyDescent="0.2">
      <c r="A205" s="109"/>
      <c r="C205" s="3"/>
      <c r="E205" s="3"/>
      <c r="F205" s="3"/>
      <c r="G205" s="116"/>
      <c r="H205" s="116"/>
      <c r="I205" s="116"/>
      <c r="J205" s="123"/>
      <c r="K205" s="110"/>
      <c r="M205" s="121"/>
    </row>
    <row r="206" spans="1:13" hidden="1" x14ac:dyDescent="0.2">
      <c r="A206" s="109"/>
      <c r="C206" s="3"/>
      <c r="E206" s="3"/>
      <c r="F206" s="3"/>
      <c r="G206" s="116"/>
      <c r="H206" s="116"/>
      <c r="I206" s="116"/>
      <c r="J206" s="123"/>
      <c r="K206" s="110"/>
      <c r="M206" s="121"/>
    </row>
    <row r="207" spans="1:13" hidden="1" x14ac:dyDescent="0.2">
      <c r="A207" s="109"/>
      <c r="C207" s="3"/>
      <c r="E207" s="3"/>
      <c r="F207" s="3"/>
      <c r="G207" s="116"/>
      <c r="H207" s="116"/>
      <c r="I207" s="116"/>
      <c r="J207" s="123"/>
      <c r="K207" s="110"/>
      <c r="M207" s="121"/>
    </row>
    <row r="208" spans="1:13" hidden="1" x14ac:dyDescent="0.2">
      <c r="A208" s="109"/>
      <c r="C208" s="3"/>
      <c r="E208" s="3"/>
      <c r="F208" s="3"/>
      <c r="G208" s="116"/>
      <c r="H208" s="116"/>
      <c r="I208" s="116"/>
      <c r="J208" s="123"/>
      <c r="K208" s="110"/>
      <c r="M208" s="121"/>
    </row>
    <row r="209" spans="1:13" hidden="1" x14ac:dyDescent="0.2">
      <c r="A209" s="109"/>
      <c r="C209" s="3"/>
      <c r="E209" s="3"/>
      <c r="F209" s="3"/>
      <c r="G209" s="116"/>
      <c r="H209" s="116"/>
      <c r="I209" s="116"/>
      <c r="J209" s="123"/>
      <c r="K209" s="110"/>
      <c r="M209" s="121"/>
    </row>
    <row r="210" spans="1:13" hidden="1" x14ac:dyDescent="0.2">
      <c r="A210" s="109"/>
      <c r="C210" s="3"/>
      <c r="E210" s="3"/>
      <c r="F210" s="3"/>
      <c r="G210" s="116"/>
      <c r="H210" s="116"/>
      <c r="I210" s="116"/>
      <c r="J210" s="123"/>
      <c r="K210" s="110"/>
      <c r="M210" s="121"/>
    </row>
    <row r="211" spans="1:13" hidden="1" x14ac:dyDescent="0.2">
      <c r="A211" s="109"/>
      <c r="C211" s="3"/>
      <c r="E211" s="3"/>
      <c r="F211" s="3"/>
      <c r="G211" s="116"/>
      <c r="H211" s="116"/>
      <c r="I211" s="116"/>
      <c r="J211" s="123"/>
      <c r="K211" s="110"/>
      <c r="M211" s="121"/>
    </row>
    <row r="212" spans="1:13" hidden="1" x14ac:dyDescent="0.2">
      <c r="A212" s="109"/>
      <c r="C212" s="3"/>
      <c r="E212" s="3"/>
      <c r="F212" s="3"/>
      <c r="G212" s="116"/>
      <c r="H212" s="116"/>
      <c r="I212" s="116"/>
      <c r="J212" s="123"/>
      <c r="K212" s="110"/>
      <c r="M212" s="121"/>
    </row>
  </sheetData>
  <autoFilter ref="A4:M212" xr:uid="{00000000-0001-0000-0500-000000000000}">
    <filterColumn colId="0">
      <customFilters>
        <customFilter operator="notEqual" val=" "/>
      </customFilters>
    </filterColumn>
    <sortState xmlns:xlrd2="http://schemas.microsoft.com/office/spreadsheetml/2017/richdata2" ref="A5:M115">
      <sortCondition descending="1" ref="A4:A212"/>
    </sortState>
  </autoFilter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00000000-0002-0000-0500-000001000000}">
          <x14:formula1>
            <xm:f>'Do Not Edit'!$H$2:$H$3</xm:f>
          </x14:formula1>
          <xm:sqref>L5:L212</xm:sqref>
        </x14:dataValidation>
        <x14:dataValidation type="list" allowBlank="1" showInputMessage="1" showErrorMessage="1" xr:uid="{7513458E-8B73-478D-85AC-BE1A11DF15AD}">
          <x14:formula1>
            <xm:f>'Food Donor Database'!$A$5:$A$24</xm:f>
          </x14:formula1>
          <xm:sqref>C5:C212</xm:sqref>
        </x14:dataValidation>
        <x14:dataValidation type="list" showInputMessage="1" showErrorMessage="1" xr:uid="{19489402-2B3C-4CC4-9845-0EF62A7DF386}">
          <x14:formula1>
            <xm:f>'Do Not Edit'!$J$2:$J$13</xm:f>
          </x14:formula1>
          <xm:sqref>B5:B212</xm:sqref>
        </x14:dataValidation>
        <x14:dataValidation type="list" showInputMessage="1" showErrorMessage="1" xr:uid="{00000000-0002-0000-0500-000000000000}">
          <x14:formula1>
            <xm:f>'Do Not Edit'!$E$2:$E$21</xm:f>
          </x14:formula1>
          <xm:sqref>E5:E208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BC38"/>
  </sheetPr>
  <dimension ref="A1:H338"/>
  <sheetViews>
    <sheetView topLeftCell="A6" zoomScaleNormal="100" workbookViewId="0">
      <selection activeCell="C191" sqref="C191"/>
    </sheetView>
  </sheetViews>
  <sheetFormatPr baseColWidth="10" defaultColWidth="8.6640625" defaultRowHeight="15" x14ac:dyDescent="0.2"/>
  <cols>
    <col min="1" max="2" width="20.5" style="66" customWidth="1"/>
    <col min="3" max="3" width="27.5" style="50" customWidth="1"/>
    <col min="4" max="4" width="24.6640625" style="50" customWidth="1"/>
    <col min="5" max="5" width="25.33203125" style="50" customWidth="1"/>
    <col min="6" max="7" width="20.5" style="94" customWidth="1"/>
    <col min="8" max="8" width="20.5" style="146" customWidth="1"/>
    <col min="9" max="9" width="20.5" style="32" customWidth="1"/>
    <col min="10" max="16384" width="8.6640625" style="32"/>
  </cols>
  <sheetData>
    <row r="1" spans="1:8" s="64" customFormat="1" x14ac:dyDescent="0.2">
      <c r="A1" s="62" t="s">
        <v>0</v>
      </c>
      <c r="B1" s="63" t="s">
        <v>40</v>
      </c>
      <c r="C1" s="63"/>
      <c r="D1" s="81" t="s">
        <v>85</v>
      </c>
      <c r="E1" s="63" t="s">
        <v>169</v>
      </c>
      <c r="F1" s="112"/>
      <c r="G1" s="112"/>
      <c r="H1" s="139"/>
    </row>
    <row r="2" spans="1:8" s="64" customFormat="1" x14ac:dyDescent="0.2">
      <c r="A2" s="62" t="s">
        <v>1</v>
      </c>
      <c r="B2" s="63">
        <v>2024</v>
      </c>
      <c r="C2" s="63"/>
      <c r="D2" s="81" t="s">
        <v>89</v>
      </c>
      <c r="E2" s="65">
        <v>45658</v>
      </c>
      <c r="F2" s="112"/>
      <c r="G2" s="112"/>
      <c r="H2" s="139"/>
    </row>
    <row r="4" spans="1:8" s="4" customFormat="1" ht="32" x14ac:dyDescent="0.2">
      <c r="A4" s="9" t="s">
        <v>151</v>
      </c>
      <c r="B4" s="10" t="s">
        <v>152</v>
      </c>
      <c r="C4" s="102" t="s">
        <v>43</v>
      </c>
      <c r="D4" s="10" t="s">
        <v>38</v>
      </c>
      <c r="E4" s="10" t="s">
        <v>4</v>
      </c>
      <c r="F4" s="114" t="s">
        <v>5</v>
      </c>
      <c r="G4" s="114" t="s">
        <v>109</v>
      </c>
      <c r="H4" s="140" t="s">
        <v>7</v>
      </c>
    </row>
    <row r="5" spans="1:8" x14ac:dyDescent="0.2">
      <c r="A5" s="66">
        <v>45636</v>
      </c>
      <c r="B5" s="66" t="s">
        <v>81</v>
      </c>
      <c r="C5" t="s">
        <v>614</v>
      </c>
      <c r="D5" t="s">
        <v>316</v>
      </c>
      <c r="E5" t="s">
        <v>16</v>
      </c>
      <c r="F5" s="116">
        <v>1</v>
      </c>
      <c r="G5" s="116" t="s">
        <v>308</v>
      </c>
      <c r="H5" s="141">
        <v>15</v>
      </c>
    </row>
    <row r="6" spans="1:8" x14ac:dyDescent="0.2">
      <c r="A6" s="66">
        <v>45636</v>
      </c>
      <c r="B6" s="66" t="s">
        <v>81</v>
      </c>
      <c r="C6" t="s">
        <v>614</v>
      </c>
      <c r="D6" t="s">
        <v>564</v>
      </c>
      <c r="E6" t="s">
        <v>13</v>
      </c>
      <c r="F6" s="116">
        <v>24</v>
      </c>
      <c r="G6" s="116" t="s">
        <v>442</v>
      </c>
      <c r="H6" s="141">
        <v>12.75</v>
      </c>
    </row>
    <row r="7" spans="1:8" x14ac:dyDescent="0.2">
      <c r="A7" s="66">
        <v>45636</v>
      </c>
      <c r="B7" s="66" t="s">
        <v>81</v>
      </c>
      <c r="C7" t="s">
        <v>614</v>
      </c>
      <c r="D7" t="s">
        <v>565</v>
      </c>
      <c r="E7" t="s">
        <v>15</v>
      </c>
      <c r="F7" s="116">
        <v>32</v>
      </c>
      <c r="G7" s="116" t="s">
        <v>313</v>
      </c>
      <c r="H7" s="141">
        <v>2.0499999999999998</v>
      </c>
    </row>
    <row r="8" spans="1:8" x14ac:dyDescent="0.2">
      <c r="A8" s="66">
        <v>45636</v>
      </c>
      <c r="B8" s="66" t="s">
        <v>81</v>
      </c>
      <c r="C8" t="s">
        <v>614</v>
      </c>
      <c r="D8" t="s">
        <v>566</v>
      </c>
      <c r="E8" t="s">
        <v>15</v>
      </c>
      <c r="F8" s="116">
        <v>24</v>
      </c>
      <c r="G8" s="116" t="s">
        <v>313</v>
      </c>
      <c r="H8" s="141">
        <v>1.5</v>
      </c>
    </row>
    <row r="9" spans="1:8" x14ac:dyDescent="0.2">
      <c r="A9" s="66">
        <v>45631</v>
      </c>
      <c r="B9" s="66" t="s">
        <v>81</v>
      </c>
      <c r="C9" t="s">
        <v>587</v>
      </c>
      <c r="D9" t="s">
        <v>588</v>
      </c>
      <c r="E9" t="s">
        <v>149</v>
      </c>
      <c r="F9" s="116">
        <v>1</v>
      </c>
      <c r="G9" s="116" t="s">
        <v>308</v>
      </c>
      <c r="H9" s="141">
        <v>33.799999999999997</v>
      </c>
    </row>
    <row r="10" spans="1:8" x14ac:dyDescent="0.2">
      <c r="A10" s="137">
        <v>45645</v>
      </c>
      <c r="B10" s="66" t="s">
        <v>81</v>
      </c>
      <c r="C10" t="s">
        <v>205</v>
      </c>
      <c r="D10" t="s">
        <v>316</v>
      </c>
      <c r="E10" t="s">
        <v>16</v>
      </c>
      <c r="F10" s="116">
        <v>1</v>
      </c>
      <c r="G10" s="116" t="s">
        <v>308</v>
      </c>
      <c r="H10" s="141">
        <v>15</v>
      </c>
    </row>
    <row r="11" spans="1:8" x14ac:dyDescent="0.2">
      <c r="A11" s="137">
        <v>45645</v>
      </c>
      <c r="B11" s="66" t="s">
        <v>81</v>
      </c>
      <c r="C11" t="s">
        <v>205</v>
      </c>
      <c r="D11" t="s">
        <v>447</v>
      </c>
      <c r="E11" t="s">
        <v>13</v>
      </c>
      <c r="F11" s="116">
        <v>16</v>
      </c>
      <c r="G11" s="116" t="s">
        <v>308</v>
      </c>
      <c r="H11" s="141">
        <v>240</v>
      </c>
    </row>
    <row r="12" spans="1:8" x14ac:dyDescent="0.2">
      <c r="A12" s="137">
        <v>45645</v>
      </c>
      <c r="B12" s="66" t="s">
        <v>81</v>
      </c>
      <c r="C12" t="s">
        <v>264</v>
      </c>
      <c r="D12" t="s">
        <v>447</v>
      </c>
      <c r="E12" t="s">
        <v>13</v>
      </c>
      <c r="F12" s="116">
        <v>16</v>
      </c>
      <c r="G12" s="116" t="s">
        <v>308</v>
      </c>
      <c r="H12" s="141">
        <v>240</v>
      </c>
    </row>
    <row r="13" spans="1:8" x14ac:dyDescent="0.2">
      <c r="A13" s="137">
        <v>45645</v>
      </c>
      <c r="B13" s="66" t="s">
        <v>81</v>
      </c>
      <c r="C13" s="101" t="s">
        <v>616</v>
      </c>
      <c r="D13" t="s">
        <v>316</v>
      </c>
      <c r="E13" t="s">
        <v>16</v>
      </c>
      <c r="F13" s="116">
        <v>1</v>
      </c>
      <c r="G13" s="116" t="s">
        <v>308</v>
      </c>
      <c r="H13" s="141">
        <v>15</v>
      </c>
    </row>
    <row r="14" spans="1:8" x14ac:dyDescent="0.2">
      <c r="A14" s="137">
        <v>45645</v>
      </c>
      <c r="B14" s="66" t="s">
        <v>81</v>
      </c>
      <c r="C14" s="101" t="s">
        <v>617</v>
      </c>
      <c r="D14" t="s">
        <v>517</v>
      </c>
      <c r="E14" t="s">
        <v>13</v>
      </c>
      <c r="F14" s="116">
        <v>16</v>
      </c>
      <c r="G14" s="116" t="s">
        <v>308</v>
      </c>
      <c r="H14" s="141">
        <v>240</v>
      </c>
    </row>
    <row r="15" spans="1:8" x14ac:dyDescent="0.2">
      <c r="A15" s="137">
        <v>45645</v>
      </c>
      <c r="B15" s="66" t="s">
        <v>81</v>
      </c>
      <c r="C15" s="101" t="s">
        <v>618</v>
      </c>
      <c r="D15" t="s">
        <v>316</v>
      </c>
      <c r="E15" t="s">
        <v>16</v>
      </c>
      <c r="F15" s="116">
        <v>1</v>
      </c>
      <c r="G15" s="116" t="s">
        <v>308</v>
      </c>
      <c r="H15" s="141">
        <v>15</v>
      </c>
    </row>
    <row r="16" spans="1:8" x14ac:dyDescent="0.2">
      <c r="A16" s="137">
        <v>45645</v>
      </c>
      <c r="B16" s="66" t="s">
        <v>81</v>
      </c>
      <c r="C16" s="101" t="s">
        <v>618</v>
      </c>
      <c r="D16" t="s">
        <v>522</v>
      </c>
      <c r="E16" t="s">
        <v>13</v>
      </c>
      <c r="F16" s="116">
        <v>8</v>
      </c>
      <c r="G16" s="116" t="s">
        <v>308</v>
      </c>
      <c r="H16" s="141">
        <v>120</v>
      </c>
    </row>
    <row r="17" spans="1:8" x14ac:dyDescent="0.2">
      <c r="A17" s="137">
        <v>45645</v>
      </c>
      <c r="B17" s="66" t="s">
        <v>81</v>
      </c>
      <c r="C17" s="101" t="s">
        <v>638</v>
      </c>
      <c r="D17" t="s">
        <v>316</v>
      </c>
      <c r="E17" t="s">
        <v>16</v>
      </c>
      <c r="F17" s="116">
        <v>1</v>
      </c>
      <c r="G17" s="116" t="s">
        <v>308</v>
      </c>
      <c r="H17" s="141">
        <v>15</v>
      </c>
    </row>
    <row r="18" spans="1:8" x14ac:dyDescent="0.2">
      <c r="A18" s="137">
        <v>45645</v>
      </c>
      <c r="B18" s="66" t="s">
        <v>81</v>
      </c>
      <c r="C18" s="101" t="s">
        <v>638</v>
      </c>
      <c r="D18" t="s">
        <v>447</v>
      </c>
      <c r="E18" t="s">
        <v>13</v>
      </c>
      <c r="F18" s="116">
        <v>8</v>
      </c>
      <c r="G18" s="116" t="s">
        <v>308</v>
      </c>
      <c r="H18" s="141">
        <v>120</v>
      </c>
    </row>
    <row r="19" spans="1:8" x14ac:dyDescent="0.2">
      <c r="A19" s="137">
        <v>45645</v>
      </c>
      <c r="B19" s="66" t="s">
        <v>81</v>
      </c>
      <c r="C19" s="101" t="s">
        <v>619</v>
      </c>
      <c r="D19" t="s">
        <v>447</v>
      </c>
      <c r="E19" t="s">
        <v>13</v>
      </c>
      <c r="F19" s="116">
        <v>16</v>
      </c>
      <c r="G19" s="116" t="s">
        <v>308</v>
      </c>
      <c r="H19" s="141">
        <v>240</v>
      </c>
    </row>
    <row r="20" spans="1:8" x14ac:dyDescent="0.2">
      <c r="A20" s="137">
        <v>45645</v>
      </c>
      <c r="B20" s="66" t="s">
        <v>81</v>
      </c>
      <c r="C20" s="101" t="s">
        <v>620</v>
      </c>
      <c r="D20" t="s">
        <v>316</v>
      </c>
      <c r="E20" t="s">
        <v>16</v>
      </c>
      <c r="F20" s="116">
        <v>1</v>
      </c>
      <c r="G20" s="116" t="s">
        <v>308</v>
      </c>
      <c r="H20" s="141">
        <v>15</v>
      </c>
    </row>
    <row r="21" spans="1:8" x14ac:dyDescent="0.2">
      <c r="A21" s="137">
        <v>45645</v>
      </c>
      <c r="B21" s="66" t="s">
        <v>81</v>
      </c>
      <c r="C21" s="101" t="s">
        <v>620</v>
      </c>
      <c r="D21" t="s">
        <v>447</v>
      </c>
      <c r="E21" t="s">
        <v>13</v>
      </c>
      <c r="F21" s="116">
        <v>8</v>
      </c>
      <c r="G21" s="116" t="s">
        <v>308</v>
      </c>
      <c r="H21" s="141">
        <v>120</v>
      </c>
    </row>
    <row r="22" spans="1:8" x14ac:dyDescent="0.2">
      <c r="A22" s="137">
        <v>45645</v>
      </c>
      <c r="B22" s="66" t="s">
        <v>81</v>
      </c>
      <c r="C22" s="101" t="s">
        <v>621</v>
      </c>
      <c r="D22" t="s">
        <v>447</v>
      </c>
      <c r="E22" t="s">
        <v>13</v>
      </c>
      <c r="F22" s="116">
        <v>8</v>
      </c>
      <c r="G22" s="116" t="s">
        <v>308</v>
      </c>
      <c r="H22" s="141">
        <v>120</v>
      </c>
    </row>
    <row r="23" spans="1:8" x14ac:dyDescent="0.2">
      <c r="A23" s="137">
        <v>45645</v>
      </c>
      <c r="B23" s="66" t="s">
        <v>81</v>
      </c>
      <c r="C23" s="101" t="s">
        <v>622</v>
      </c>
      <c r="D23" t="s">
        <v>536</v>
      </c>
      <c r="E23" t="s">
        <v>20</v>
      </c>
      <c r="F23" s="116">
        <v>1</v>
      </c>
      <c r="G23" s="116" t="s">
        <v>309</v>
      </c>
      <c r="H23" s="141">
        <v>0.45</v>
      </c>
    </row>
    <row r="24" spans="1:8" x14ac:dyDescent="0.2">
      <c r="A24" s="137">
        <v>45645</v>
      </c>
      <c r="B24" s="66" t="s">
        <v>81</v>
      </c>
      <c r="C24" s="101" t="s">
        <v>622</v>
      </c>
      <c r="D24" t="s">
        <v>447</v>
      </c>
      <c r="E24" t="s">
        <v>13</v>
      </c>
      <c r="F24" s="116">
        <v>8</v>
      </c>
      <c r="G24" s="116" t="s">
        <v>308</v>
      </c>
      <c r="H24" s="141">
        <v>120</v>
      </c>
    </row>
    <row r="25" spans="1:8" x14ac:dyDescent="0.2">
      <c r="A25" s="137">
        <v>45645</v>
      </c>
      <c r="B25" s="66" t="s">
        <v>81</v>
      </c>
      <c r="C25" s="101" t="s">
        <v>623</v>
      </c>
      <c r="D25" t="s">
        <v>447</v>
      </c>
      <c r="E25" t="s">
        <v>13</v>
      </c>
      <c r="F25" s="116">
        <v>8</v>
      </c>
      <c r="G25" s="116" t="s">
        <v>308</v>
      </c>
      <c r="H25" s="141">
        <v>120</v>
      </c>
    </row>
    <row r="26" spans="1:8" x14ac:dyDescent="0.2">
      <c r="A26" s="137">
        <v>45644</v>
      </c>
      <c r="B26" s="66" t="s">
        <v>81</v>
      </c>
      <c r="C26" s="101" t="s">
        <v>624</v>
      </c>
      <c r="D26" t="s">
        <v>515</v>
      </c>
      <c r="E26" t="s">
        <v>13</v>
      </c>
      <c r="F26" s="116">
        <v>8</v>
      </c>
      <c r="G26" s="116" t="s">
        <v>308</v>
      </c>
      <c r="H26" s="141">
        <v>104</v>
      </c>
    </row>
    <row r="27" spans="1:8" x14ac:dyDescent="0.2">
      <c r="A27" s="137">
        <v>45645</v>
      </c>
      <c r="B27" s="66" t="s">
        <v>81</v>
      </c>
      <c r="C27" s="101" t="s">
        <v>624</v>
      </c>
      <c r="D27" t="s">
        <v>447</v>
      </c>
      <c r="E27" t="s">
        <v>13</v>
      </c>
      <c r="F27" s="116">
        <v>8</v>
      </c>
      <c r="G27" s="116" t="s">
        <v>308</v>
      </c>
      <c r="H27" s="141">
        <v>120</v>
      </c>
    </row>
    <row r="28" spans="1:8" x14ac:dyDescent="0.2">
      <c r="A28" s="137">
        <v>45645</v>
      </c>
      <c r="B28" s="66" t="s">
        <v>81</v>
      </c>
      <c r="C28" s="101" t="s">
        <v>625</v>
      </c>
      <c r="D28" t="s">
        <v>529</v>
      </c>
      <c r="E28" t="s">
        <v>17</v>
      </c>
      <c r="F28" s="116">
        <v>1</v>
      </c>
      <c r="G28" s="116" t="s">
        <v>309</v>
      </c>
      <c r="H28" s="141">
        <v>0.6</v>
      </c>
    </row>
    <row r="29" spans="1:8" x14ac:dyDescent="0.2">
      <c r="A29" s="137">
        <v>45645</v>
      </c>
      <c r="B29" s="66" t="s">
        <v>81</v>
      </c>
      <c r="C29" s="101" t="s">
        <v>625</v>
      </c>
      <c r="D29" t="s">
        <v>316</v>
      </c>
      <c r="E29" t="s">
        <v>16</v>
      </c>
      <c r="F29" s="116">
        <v>1</v>
      </c>
      <c r="G29" s="116" t="s">
        <v>308</v>
      </c>
      <c r="H29" s="141">
        <v>15</v>
      </c>
    </row>
    <row r="30" spans="1:8" x14ac:dyDescent="0.2">
      <c r="A30" s="137">
        <v>45645</v>
      </c>
      <c r="B30" s="66" t="s">
        <v>81</v>
      </c>
      <c r="C30" s="101" t="s">
        <v>625</v>
      </c>
      <c r="D30" t="s">
        <v>447</v>
      </c>
      <c r="E30" t="s">
        <v>13</v>
      </c>
      <c r="F30" s="116">
        <v>8</v>
      </c>
      <c r="G30" s="116" t="s">
        <v>308</v>
      </c>
      <c r="H30" s="141">
        <v>120</v>
      </c>
    </row>
    <row r="31" spans="1:8" x14ac:dyDescent="0.2">
      <c r="A31" s="137">
        <v>45645</v>
      </c>
      <c r="B31" s="66" t="s">
        <v>81</v>
      </c>
      <c r="C31" s="101" t="s">
        <v>616</v>
      </c>
      <c r="D31" t="s">
        <v>447</v>
      </c>
      <c r="E31" t="s">
        <v>13</v>
      </c>
      <c r="F31" s="116">
        <v>16</v>
      </c>
      <c r="G31" s="116" t="s">
        <v>308</v>
      </c>
      <c r="H31" s="141">
        <v>240</v>
      </c>
    </row>
    <row r="32" spans="1:8" x14ac:dyDescent="0.2">
      <c r="A32" s="137">
        <v>45645</v>
      </c>
      <c r="B32" s="66" t="s">
        <v>81</v>
      </c>
      <c r="C32" s="101" t="s">
        <v>626</v>
      </c>
      <c r="D32" t="s">
        <v>447</v>
      </c>
      <c r="E32" t="s">
        <v>13</v>
      </c>
      <c r="F32" s="116">
        <v>24</v>
      </c>
      <c r="G32" s="116" t="s">
        <v>308</v>
      </c>
      <c r="H32" s="141">
        <v>360</v>
      </c>
    </row>
    <row r="33" spans="1:8" x14ac:dyDescent="0.2">
      <c r="A33" s="66">
        <v>45635</v>
      </c>
      <c r="B33" s="66" t="s">
        <v>81</v>
      </c>
      <c r="C33" s="101" t="s">
        <v>627</v>
      </c>
      <c r="D33" t="s">
        <v>305</v>
      </c>
      <c r="E33" t="s">
        <v>20</v>
      </c>
      <c r="F33" s="116">
        <v>44</v>
      </c>
      <c r="G33" s="116" t="s">
        <v>313</v>
      </c>
      <c r="H33" s="141">
        <v>3.5</v>
      </c>
    </row>
    <row r="34" spans="1:8" x14ac:dyDescent="0.2">
      <c r="A34" s="66">
        <v>45635</v>
      </c>
      <c r="B34" s="66" t="s">
        <v>81</v>
      </c>
      <c r="C34" s="101" t="s">
        <v>627</v>
      </c>
      <c r="D34" t="s">
        <v>333</v>
      </c>
      <c r="E34" t="s">
        <v>20</v>
      </c>
      <c r="F34" s="116">
        <v>58</v>
      </c>
      <c r="G34" s="116" t="s">
        <v>313</v>
      </c>
      <c r="H34" s="141">
        <v>1.65</v>
      </c>
    </row>
    <row r="35" spans="1:8" x14ac:dyDescent="0.2">
      <c r="A35" s="66">
        <v>45632</v>
      </c>
      <c r="B35" s="66" t="s">
        <v>81</v>
      </c>
      <c r="C35" s="101" t="s">
        <v>627</v>
      </c>
      <c r="D35" t="s">
        <v>568</v>
      </c>
      <c r="E35" t="s">
        <v>23</v>
      </c>
      <c r="F35" s="116">
        <v>9</v>
      </c>
      <c r="G35" s="116" t="s">
        <v>308</v>
      </c>
      <c r="H35" s="141">
        <v>5.85</v>
      </c>
    </row>
    <row r="36" spans="1:8" x14ac:dyDescent="0.2">
      <c r="A36" s="66">
        <v>45635</v>
      </c>
      <c r="B36" s="66" t="s">
        <v>81</v>
      </c>
      <c r="C36" s="101" t="s">
        <v>627</v>
      </c>
      <c r="D36" t="s">
        <v>306</v>
      </c>
      <c r="E36" t="s">
        <v>23</v>
      </c>
      <c r="F36" s="116">
        <v>2</v>
      </c>
      <c r="G36" s="116" t="s">
        <v>310</v>
      </c>
      <c r="H36" s="141">
        <v>0.7</v>
      </c>
    </row>
    <row r="37" spans="1:8" x14ac:dyDescent="0.2">
      <c r="A37" s="66">
        <v>45635</v>
      </c>
      <c r="B37" s="66" t="s">
        <v>81</v>
      </c>
      <c r="C37" s="101" t="s">
        <v>627</v>
      </c>
      <c r="D37" t="s">
        <v>569</v>
      </c>
      <c r="E37" t="s">
        <v>20</v>
      </c>
      <c r="F37" s="116">
        <v>32</v>
      </c>
      <c r="G37" s="116" t="s">
        <v>313</v>
      </c>
      <c r="H37" s="141">
        <v>3.2</v>
      </c>
    </row>
    <row r="38" spans="1:8" x14ac:dyDescent="0.2">
      <c r="A38" s="66">
        <v>45635</v>
      </c>
      <c r="B38" s="66" t="s">
        <v>81</v>
      </c>
      <c r="C38" s="101" t="s">
        <v>627</v>
      </c>
      <c r="D38" t="s">
        <v>570</v>
      </c>
      <c r="E38" t="s">
        <v>16</v>
      </c>
      <c r="F38" s="116">
        <v>38</v>
      </c>
      <c r="G38" s="116" t="s">
        <v>313</v>
      </c>
      <c r="H38" s="141">
        <v>7.8</v>
      </c>
    </row>
    <row r="39" spans="1:8" x14ac:dyDescent="0.2">
      <c r="A39" s="66">
        <v>45635</v>
      </c>
      <c r="B39" s="66" t="s">
        <v>81</v>
      </c>
      <c r="C39" s="101" t="s">
        <v>627</v>
      </c>
      <c r="D39" t="s">
        <v>329</v>
      </c>
      <c r="E39" t="s">
        <v>16</v>
      </c>
      <c r="F39" s="116">
        <v>24</v>
      </c>
      <c r="G39" s="116" t="s">
        <v>308</v>
      </c>
      <c r="H39" s="141">
        <v>13.2</v>
      </c>
    </row>
    <row r="40" spans="1:8" x14ac:dyDescent="0.2">
      <c r="A40" s="66">
        <v>45635</v>
      </c>
      <c r="B40" s="66" t="s">
        <v>81</v>
      </c>
      <c r="C40" s="101" t="s">
        <v>627</v>
      </c>
      <c r="D40" t="s">
        <v>571</v>
      </c>
      <c r="E40" t="s">
        <v>16</v>
      </c>
      <c r="F40" s="116">
        <v>71</v>
      </c>
      <c r="G40" s="116" t="s">
        <v>308</v>
      </c>
      <c r="H40" s="141">
        <v>19.7</v>
      </c>
    </row>
    <row r="41" spans="1:8" x14ac:dyDescent="0.2">
      <c r="A41" s="66">
        <v>45635</v>
      </c>
      <c r="B41" s="66" t="s">
        <v>81</v>
      </c>
      <c r="C41" s="101" t="s">
        <v>627</v>
      </c>
      <c r="D41" t="s">
        <v>573</v>
      </c>
      <c r="E41" t="s">
        <v>20</v>
      </c>
      <c r="F41" s="116">
        <v>30</v>
      </c>
      <c r="G41" s="116" t="s">
        <v>313</v>
      </c>
      <c r="H41" s="141">
        <v>1.71</v>
      </c>
    </row>
    <row r="42" spans="1:8" x14ac:dyDescent="0.2">
      <c r="A42" s="66">
        <v>45635</v>
      </c>
      <c r="B42" s="66" t="s">
        <v>81</v>
      </c>
      <c r="C42" s="101" t="s">
        <v>627</v>
      </c>
      <c r="D42" t="s">
        <v>574</v>
      </c>
      <c r="E42" t="s">
        <v>20</v>
      </c>
      <c r="F42" s="116">
        <v>27</v>
      </c>
      <c r="G42" s="116" t="s">
        <v>313</v>
      </c>
      <c r="H42" s="141">
        <v>1.7</v>
      </c>
    </row>
    <row r="43" spans="1:8" x14ac:dyDescent="0.2">
      <c r="A43" s="66">
        <v>45635</v>
      </c>
      <c r="B43" s="66" t="s">
        <v>81</v>
      </c>
      <c r="C43" s="101" t="s">
        <v>627</v>
      </c>
      <c r="D43" t="s">
        <v>575</v>
      </c>
      <c r="E43" t="s">
        <v>20</v>
      </c>
      <c r="F43" s="116">
        <v>32</v>
      </c>
      <c r="G43" s="116" t="s">
        <v>313</v>
      </c>
      <c r="H43" s="141">
        <v>2.6</v>
      </c>
    </row>
    <row r="44" spans="1:8" x14ac:dyDescent="0.2">
      <c r="A44" s="66">
        <v>45635</v>
      </c>
      <c r="B44" s="66" t="s">
        <v>81</v>
      </c>
      <c r="C44" s="101" t="s">
        <v>627</v>
      </c>
      <c r="D44" t="s">
        <v>576</v>
      </c>
      <c r="E44" t="s">
        <v>20</v>
      </c>
      <c r="F44" s="116">
        <v>24</v>
      </c>
      <c r="G44" s="116" t="s">
        <v>313</v>
      </c>
      <c r="H44" s="141">
        <v>1.7</v>
      </c>
    </row>
    <row r="45" spans="1:8" x14ac:dyDescent="0.2">
      <c r="A45" s="66">
        <v>45635</v>
      </c>
      <c r="B45" s="66" t="s">
        <v>81</v>
      </c>
      <c r="C45" s="101" t="s">
        <v>627</v>
      </c>
      <c r="D45" t="s">
        <v>577</v>
      </c>
      <c r="E45" t="s">
        <v>20</v>
      </c>
      <c r="F45" s="116">
        <v>74</v>
      </c>
      <c r="G45" s="116" t="s">
        <v>313</v>
      </c>
      <c r="H45" s="141">
        <v>9.25</v>
      </c>
    </row>
    <row r="46" spans="1:8" x14ac:dyDescent="0.2">
      <c r="A46" s="66">
        <v>45635</v>
      </c>
      <c r="B46" s="66" t="s">
        <v>81</v>
      </c>
      <c r="C46" s="101" t="s">
        <v>627</v>
      </c>
      <c r="D46" t="s">
        <v>578</v>
      </c>
      <c r="E46" t="s">
        <v>20</v>
      </c>
      <c r="F46" s="116">
        <v>20</v>
      </c>
      <c r="G46" s="116" t="s">
        <v>313</v>
      </c>
      <c r="H46" s="141">
        <v>2.25</v>
      </c>
    </row>
    <row r="47" spans="1:8" x14ac:dyDescent="0.2">
      <c r="A47" s="66">
        <v>45635</v>
      </c>
      <c r="B47" s="66" t="s">
        <v>81</v>
      </c>
      <c r="C47" s="101" t="s">
        <v>627</v>
      </c>
      <c r="D47" t="s">
        <v>579</v>
      </c>
      <c r="E47" t="s">
        <v>20</v>
      </c>
      <c r="F47" s="116">
        <v>100</v>
      </c>
      <c r="G47" s="116" t="s">
        <v>313</v>
      </c>
      <c r="H47" s="141">
        <v>3.25</v>
      </c>
    </row>
    <row r="48" spans="1:8" x14ac:dyDescent="0.2">
      <c r="A48" s="66">
        <v>45635</v>
      </c>
      <c r="B48" s="66" t="s">
        <v>81</v>
      </c>
      <c r="C48" s="101" t="s">
        <v>627</v>
      </c>
      <c r="D48" t="s">
        <v>580</v>
      </c>
      <c r="E48" t="s">
        <v>20</v>
      </c>
      <c r="F48" s="116">
        <v>120</v>
      </c>
      <c r="G48" s="116" t="s">
        <v>313</v>
      </c>
      <c r="H48" s="141">
        <v>13.95</v>
      </c>
    </row>
    <row r="49" spans="1:8" x14ac:dyDescent="0.2">
      <c r="A49" s="66">
        <v>45635</v>
      </c>
      <c r="B49" s="66" t="s">
        <v>81</v>
      </c>
      <c r="C49" s="101" t="s">
        <v>627</v>
      </c>
      <c r="D49" t="s">
        <v>316</v>
      </c>
      <c r="E49" t="s">
        <v>16</v>
      </c>
      <c r="F49" s="116">
        <v>2</v>
      </c>
      <c r="G49" s="116" t="s">
        <v>308</v>
      </c>
      <c r="H49" s="141">
        <v>30</v>
      </c>
    </row>
    <row r="50" spans="1:8" x14ac:dyDescent="0.2">
      <c r="A50" s="66">
        <v>45635</v>
      </c>
      <c r="B50" s="66" t="s">
        <v>81</v>
      </c>
      <c r="C50" s="101" t="s">
        <v>627</v>
      </c>
      <c r="D50" t="s">
        <v>581</v>
      </c>
      <c r="E50" t="s">
        <v>13</v>
      </c>
      <c r="F50" s="116">
        <v>1</v>
      </c>
      <c r="G50" s="116" t="s">
        <v>308</v>
      </c>
      <c r="H50" s="141">
        <v>13</v>
      </c>
    </row>
    <row r="51" spans="1:8" x14ac:dyDescent="0.2">
      <c r="A51" s="66">
        <v>45635</v>
      </c>
      <c r="B51" s="66" t="s">
        <v>81</v>
      </c>
      <c r="C51" s="101" t="s">
        <v>627</v>
      </c>
      <c r="D51" t="s">
        <v>572</v>
      </c>
      <c r="E51" t="s">
        <v>20</v>
      </c>
      <c r="F51" s="116">
        <v>49</v>
      </c>
      <c r="G51" s="116" t="s">
        <v>313</v>
      </c>
      <c r="H51" s="141">
        <v>4</v>
      </c>
    </row>
    <row r="52" spans="1:8" x14ac:dyDescent="0.2">
      <c r="A52" s="137">
        <v>45646</v>
      </c>
      <c r="B52" s="66" t="s">
        <v>81</v>
      </c>
      <c r="C52" t="s">
        <v>331</v>
      </c>
      <c r="D52" t="s">
        <v>316</v>
      </c>
      <c r="E52" t="s">
        <v>16</v>
      </c>
      <c r="F52" s="116">
        <v>2</v>
      </c>
      <c r="G52" s="116" t="s">
        <v>308</v>
      </c>
      <c r="H52" s="141">
        <v>30</v>
      </c>
    </row>
    <row r="53" spans="1:8" x14ac:dyDescent="0.2">
      <c r="A53" s="137">
        <v>45646</v>
      </c>
      <c r="B53" s="66" t="s">
        <v>81</v>
      </c>
      <c r="C53" t="s">
        <v>331</v>
      </c>
      <c r="D53" t="s">
        <v>451</v>
      </c>
      <c r="E53" t="s">
        <v>16</v>
      </c>
      <c r="F53" s="116">
        <v>20</v>
      </c>
      <c r="G53" s="116" t="s">
        <v>307</v>
      </c>
      <c r="H53" s="141">
        <v>40</v>
      </c>
    </row>
    <row r="54" spans="1:8" x14ac:dyDescent="0.2">
      <c r="A54" s="137">
        <v>45646</v>
      </c>
      <c r="B54" s="66" t="s">
        <v>81</v>
      </c>
      <c r="C54" t="s">
        <v>331</v>
      </c>
      <c r="D54" t="s">
        <v>452</v>
      </c>
      <c r="E54" t="s">
        <v>13</v>
      </c>
      <c r="F54" s="116">
        <v>50</v>
      </c>
      <c r="G54" s="116" t="s">
        <v>313</v>
      </c>
      <c r="H54" s="141">
        <v>57.5</v>
      </c>
    </row>
    <row r="55" spans="1:8" x14ac:dyDescent="0.2">
      <c r="A55" s="66">
        <v>45638</v>
      </c>
      <c r="B55" s="66" t="s">
        <v>81</v>
      </c>
      <c r="C55" s="101" t="s">
        <v>628</v>
      </c>
      <c r="D55" t="s">
        <v>547</v>
      </c>
      <c r="E55" t="s">
        <v>16</v>
      </c>
      <c r="F55" s="116">
        <v>1</v>
      </c>
      <c r="G55" s="116" t="s">
        <v>307</v>
      </c>
      <c r="H55" s="141">
        <v>10</v>
      </c>
    </row>
    <row r="56" spans="1:8" x14ac:dyDescent="0.2">
      <c r="A56" s="66">
        <v>45638</v>
      </c>
      <c r="B56" s="66" t="s">
        <v>81</v>
      </c>
      <c r="C56" s="101" t="s">
        <v>628</v>
      </c>
      <c r="D56" t="s">
        <v>548</v>
      </c>
      <c r="E56" t="s">
        <v>16</v>
      </c>
      <c r="F56" s="116">
        <v>3</v>
      </c>
      <c r="G56" s="116" t="s">
        <v>307</v>
      </c>
      <c r="H56" s="141">
        <v>30</v>
      </c>
    </row>
    <row r="57" spans="1:8" x14ac:dyDescent="0.2">
      <c r="A57" s="66">
        <v>45638</v>
      </c>
      <c r="B57" s="66" t="s">
        <v>81</v>
      </c>
      <c r="C57" s="101" t="s">
        <v>628</v>
      </c>
      <c r="D57" t="s">
        <v>542</v>
      </c>
      <c r="E57" t="s">
        <v>13</v>
      </c>
      <c r="F57" s="116">
        <v>2</v>
      </c>
      <c r="G57" s="116" t="s">
        <v>308</v>
      </c>
      <c r="H57" s="141">
        <v>26</v>
      </c>
    </row>
    <row r="58" spans="1:8" x14ac:dyDescent="0.2">
      <c r="A58" s="66">
        <v>45638</v>
      </c>
      <c r="B58" s="66" t="s">
        <v>81</v>
      </c>
      <c r="C58" s="101" t="s">
        <v>628</v>
      </c>
      <c r="D58" t="s">
        <v>549</v>
      </c>
      <c r="E58" t="s">
        <v>13</v>
      </c>
      <c r="F58" s="116">
        <v>1</v>
      </c>
      <c r="G58" s="116" t="s">
        <v>310</v>
      </c>
      <c r="H58" s="141">
        <v>0.2</v>
      </c>
    </row>
    <row r="59" spans="1:8" x14ac:dyDescent="0.2">
      <c r="A59" s="66">
        <v>45638</v>
      </c>
      <c r="B59" s="66" t="s">
        <v>81</v>
      </c>
      <c r="C59" s="101" t="s">
        <v>628</v>
      </c>
      <c r="D59" t="s">
        <v>550</v>
      </c>
      <c r="E59" t="s">
        <v>14</v>
      </c>
      <c r="F59" s="116">
        <v>1</v>
      </c>
      <c r="G59" s="116" t="s">
        <v>308</v>
      </c>
      <c r="H59" s="141">
        <v>0.3</v>
      </c>
    </row>
    <row r="60" spans="1:8" x14ac:dyDescent="0.2">
      <c r="A60" s="66">
        <v>45638</v>
      </c>
      <c r="B60" s="66" t="s">
        <v>81</v>
      </c>
      <c r="C60" s="101" t="s">
        <v>628</v>
      </c>
      <c r="D60" t="s">
        <v>551</v>
      </c>
      <c r="E60" t="s">
        <v>20</v>
      </c>
      <c r="F60" s="116">
        <v>1</v>
      </c>
      <c r="G60" s="116" t="s">
        <v>308</v>
      </c>
      <c r="H60" s="141">
        <v>0.8</v>
      </c>
    </row>
    <row r="61" spans="1:8" x14ac:dyDescent="0.2">
      <c r="A61" s="66">
        <v>45638</v>
      </c>
      <c r="B61" s="66" t="s">
        <v>81</v>
      </c>
      <c r="C61" s="101" t="s">
        <v>628</v>
      </c>
      <c r="D61" t="s">
        <v>552</v>
      </c>
      <c r="E61" t="s">
        <v>17</v>
      </c>
      <c r="F61" s="116">
        <v>9</v>
      </c>
      <c r="G61" s="116" t="s">
        <v>308</v>
      </c>
      <c r="H61" s="141">
        <v>1.3</v>
      </c>
    </row>
    <row r="62" spans="1:8" x14ac:dyDescent="0.2">
      <c r="A62" s="66">
        <v>45638</v>
      </c>
      <c r="B62" s="66" t="s">
        <v>81</v>
      </c>
      <c r="C62" s="101" t="s">
        <v>628</v>
      </c>
      <c r="D62" t="s">
        <v>553</v>
      </c>
      <c r="E62" t="s">
        <v>13</v>
      </c>
      <c r="F62" s="116">
        <v>1</v>
      </c>
      <c r="G62" s="116" t="s">
        <v>313</v>
      </c>
      <c r="H62" s="141">
        <v>0.35</v>
      </c>
    </row>
    <row r="63" spans="1:8" x14ac:dyDescent="0.2">
      <c r="A63" s="66">
        <v>45638</v>
      </c>
      <c r="B63" s="66" t="s">
        <v>81</v>
      </c>
      <c r="C63" s="101" t="s">
        <v>628</v>
      </c>
      <c r="D63" t="s">
        <v>460</v>
      </c>
      <c r="E63" t="s">
        <v>20</v>
      </c>
      <c r="F63" s="116">
        <v>2</v>
      </c>
      <c r="G63" s="116" t="s">
        <v>308</v>
      </c>
      <c r="H63" s="141">
        <v>0.9</v>
      </c>
    </row>
    <row r="64" spans="1:8" x14ac:dyDescent="0.2">
      <c r="A64" s="66">
        <v>45638</v>
      </c>
      <c r="B64" s="66" t="s">
        <v>81</v>
      </c>
      <c r="C64" s="101" t="s">
        <v>628</v>
      </c>
      <c r="D64" t="s">
        <v>554</v>
      </c>
      <c r="E64" t="s">
        <v>17</v>
      </c>
      <c r="F64" s="116">
        <v>6</v>
      </c>
      <c r="G64" s="116" t="s">
        <v>313</v>
      </c>
      <c r="H64" s="141">
        <v>0.65</v>
      </c>
    </row>
    <row r="65" spans="1:8" x14ac:dyDescent="0.2">
      <c r="A65" s="66">
        <v>45638</v>
      </c>
      <c r="B65" s="66" t="s">
        <v>81</v>
      </c>
      <c r="C65" s="101" t="s">
        <v>628</v>
      </c>
      <c r="D65" t="s">
        <v>555</v>
      </c>
      <c r="E65" t="s">
        <v>20</v>
      </c>
      <c r="F65" s="116">
        <v>5</v>
      </c>
      <c r="G65" s="116" t="s">
        <v>313</v>
      </c>
      <c r="H65" s="141">
        <v>0.55000000000000004</v>
      </c>
    </row>
    <row r="66" spans="1:8" x14ac:dyDescent="0.2">
      <c r="A66" s="66">
        <v>45638</v>
      </c>
      <c r="B66" s="66" t="s">
        <v>81</v>
      </c>
      <c r="C66" s="101" t="s">
        <v>628</v>
      </c>
      <c r="D66" t="s">
        <v>556</v>
      </c>
      <c r="E66" t="s">
        <v>16</v>
      </c>
      <c r="F66" s="116">
        <v>20</v>
      </c>
      <c r="G66" s="116" t="s">
        <v>307</v>
      </c>
      <c r="H66" s="141">
        <v>20</v>
      </c>
    </row>
    <row r="67" spans="1:8" x14ac:dyDescent="0.2">
      <c r="A67" s="66">
        <v>45638</v>
      </c>
      <c r="B67" s="66" t="s">
        <v>81</v>
      </c>
      <c r="C67" s="101" t="s">
        <v>628</v>
      </c>
      <c r="D67" t="s">
        <v>557</v>
      </c>
      <c r="E67" t="s">
        <v>17</v>
      </c>
      <c r="F67" s="116">
        <v>2</v>
      </c>
      <c r="G67" s="116" t="s">
        <v>313</v>
      </c>
      <c r="H67" s="141">
        <v>2.35</v>
      </c>
    </row>
    <row r="68" spans="1:8" x14ac:dyDescent="0.2">
      <c r="A68" s="66">
        <v>45638</v>
      </c>
      <c r="B68" s="66" t="s">
        <v>81</v>
      </c>
      <c r="C68" s="101" t="s">
        <v>628</v>
      </c>
      <c r="D68" t="s">
        <v>558</v>
      </c>
      <c r="E68" t="s">
        <v>15</v>
      </c>
      <c r="F68" s="116">
        <v>1</v>
      </c>
      <c r="G68" s="116" t="s">
        <v>312</v>
      </c>
      <c r="H68" s="141">
        <v>0.95</v>
      </c>
    </row>
    <row r="69" spans="1:8" x14ac:dyDescent="0.2">
      <c r="A69" s="66">
        <v>45638</v>
      </c>
      <c r="B69" s="66" t="s">
        <v>81</v>
      </c>
      <c r="C69" s="101" t="s">
        <v>628</v>
      </c>
      <c r="D69" t="s">
        <v>559</v>
      </c>
      <c r="E69" t="s">
        <v>15</v>
      </c>
      <c r="F69" s="116">
        <v>5</v>
      </c>
      <c r="G69" s="116" t="s">
        <v>313</v>
      </c>
      <c r="H69" s="141">
        <v>0.5</v>
      </c>
    </row>
    <row r="70" spans="1:8" x14ac:dyDescent="0.2">
      <c r="A70" s="66">
        <v>45638</v>
      </c>
      <c r="B70" s="66" t="s">
        <v>81</v>
      </c>
      <c r="C70" s="101" t="s">
        <v>628</v>
      </c>
      <c r="D70" t="s">
        <v>560</v>
      </c>
      <c r="E70" t="s">
        <v>23</v>
      </c>
      <c r="F70" s="116">
        <v>80</v>
      </c>
      <c r="G70" s="116" t="s">
        <v>310</v>
      </c>
      <c r="H70" s="141">
        <v>2.4500000000000002</v>
      </c>
    </row>
    <row r="71" spans="1:8" x14ac:dyDescent="0.2">
      <c r="A71" s="66">
        <v>45638</v>
      </c>
      <c r="B71" s="66" t="s">
        <v>81</v>
      </c>
      <c r="C71" s="101" t="s">
        <v>628</v>
      </c>
      <c r="D71" t="s">
        <v>561</v>
      </c>
      <c r="E71" t="s">
        <v>20</v>
      </c>
      <c r="F71" s="116">
        <v>12</v>
      </c>
      <c r="G71" s="116" t="s">
        <v>313</v>
      </c>
      <c r="H71" s="141">
        <v>2.4500000000000002</v>
      </c>
    </row>
    <row r="72" spans="1:8" x14ac:dyDescent="0.2">
      <c r="A72" s="66">
        <v>45638</v>
      </c>
      <c r="B72" s="66" t="s">
        <v>81</v>
      </c>
      <c r="C72" s="101" t="s">
        <v>628</v>
      </c>
      <c r="D72" t="s">
        <v>562</v>
      </c>
      <c r="E72" t="s">
        <v>20</v>
      </c>
      <c r="F72" s="116">
        <v>2</v>
      </c>
      <c r="G72" s="116" t="s">
        <v>309</v>
      </c>
      <c r="H72" s="141">
        <v>0.85</v>
      </c>
    </row>
    <row r="73" spans="1:8" x14ac:dyDescent="0.2">
      <c r="A73" s="137">
        <v>45646</v>
      </c>
      <c r="B73" s="66" t="s">
        <v>81</v>
      </c>
      <c r="C73" s="101" t="s">
        <v>629</v>
      </c>
      <c r="D73" t="s">
        <v>511</v>
      </c>
      <c r="E73" t="s">
        <v>168</v>
      </c>
      <c r="F73" s="116">
        <v>1</v>
      </c>
      <c r="G73" s="116" t="s">
        <v>307</v>
      </c>
      <c r="H73" s="141">
        <v>7</v>
      </c>
    </row>
    <row r="74" spans="1:8" x14ac:dyDescent="0.2">
      <c r="A74" s="137">
        <v>45646</v>
      </c>
      <c r="B74" s="66" t="s">
        <v>81</v>
      </c>
      <c r="C74" s="101" t="s">
        <v>629</v>
      </c>
      <c r="D74" t="s">
        <v>512</v>
      </c>
      <c r="E74" t="s">
        <v>168</v>
      </c>
      <c r="F74" s="116">
        <v>2</v>
      </c>
      <c r="G74" s="116" t="s">
        <v>307</v>
      </c>
      <c r="H74" s="141">
        <v>16</v>
      </c>
    </row>
    <row r="75" spans="1:8" x14ac:dyDescent="0.2">
      <c r="A75" s="137">
        <v>45646</v>
      </c>
      <c r="B75" s="66" t="s">
        <v>81</v>
      </c>
      <c r="C75" s="101" t="s">
        <v>629</v>
      </c>
      <c r="D75" t="s">
        <v>513</v>
      </c>
      <c r="E75" t="s">
        <v>168</v>
      </c>
      <c r="F75" s="116">
        <v>3</v>
      </c>
      <c r="G75" s="116" t="s">
        <v>307</v>
      </c>
      <c r="H75" s="141">
        <v>24</v>
      </c>
    </row>
    <row r="76" spans="1:8" x14ac:dyDescent="0.2">
      <c r="A76" s="137">
        <v>45645</v>
      </c>
      <c r="B76" s="66" t="s">
        <v>81</v>
      </c>
      <c r="C76" s="101" t="s">
        <v>630</v>
      </c>
      <c r="D76" t="s">
        <v>447</v>
      </c>
      <c r="E76" t="s">
        <v>13</v>
      </c>
      <c r="F76" s="116">
        <v>8</v>
      </c>
      <c r="G76" s="116" t="s">
        <v>308</v>
      </c>
      <c r="H76" s="141">
        <v>120</v>
      </c>
    </row>
    <row r="77" spans="1:8" x14ac:dyDescent="0.2">
      <c r="A77" s="137">
        <v>45646</v>
      </c>
      <c r="B77" s="66" t="s">
        <v>81</v>
      </c>
      <c r="C77" s="101" t="s">
        <v>639</v>
      </c>
      <c r="D77" t="s">
        <v>500</v>
      </c>
      <c r="E77" t="s">
        <v>20</v>
      </c>
      <c r="F77" s="116">
        <v>9</v>
      </c>
      <c r="G77" s="116" t="s">
        <v>313</v>
      </c>
      <c r="H77" s="141">
        <v>0.85</v>
      </c>
    </row>
    <row r="78" spans="1:8" x14ac:dyDescent="0.2">
      <c r="A78" s="137">
        <v>45646</v>
      </c>
      <c r="B78" s="66" t="s">
        <v>81</v>
      </c>
      <c r="C78" s="101" t="s">
        <v>639</v>
      </c>
      <c r="D78" t="s">
        <v>501</v>
      </c>
      <c r="E78" t="s">
        <v>20</v>
      </c>
      <c r="F78" s="116">
        <v>10</v>
      </c>
      <c r="G78" s="116" t="s">
        <v>313</v>
      </c>
      <c r="H78" s="141">
        <v>0.85</v>
      </c>
    </row>
    <row r="79" spans="1:8" x14ac:dyDescent="0.2">
      <c r="A79" s="137">
        <v>45646</v>
      </c>
      <c r="B79" s="66" t="s">
        <v>81</v>
      </c>
      <c r="C79" s="101" t="s">
        <v>639</v>
      </c>
      <c r="D79" t="s">
        <v>453</v>
      </c>
      <c r="E79" t="s">
        <v>20</v>
      </c>
      <c r="F79" s="116">
        <v>1</v>
      </c>
      <c r="G79" s="116" t="s">
        <v>313</v>
      </c>
      <c r="H79" s="141">
        <v>0.1</v>
      </c>
    </row>
    <row r="80" spans="1:8" ht="14.5" customHeight="1" x14ac:dyDescent="0.2">
      <c r="A80" s="137">
        <v>45646</v>
      </c>
      <c r="B80" s="66" t="s">
        <v>81</v>
      </c>
      <c r="C80" s="101" t="s">
        <v>639</v>
      </c>
      <c r="D80" t="s">
        <v>502</v>
      </c>
      <c r="E80" t="s">
        <v>16</v>
      </c>
      <c r="F80" s="116">
        <v>17</v>
      </c>
      <c r="G80" s="116" t="s">
        <v>308</v>
      </c>
      <c r="H80" s="141">
        <v>3.7</v>
      </c>
    </row>
    <row r="81" spans="1:8" x14ac:dyDescent="0.2">
      <c r="A81" s="137">
        <v>45646</v>
      </c>
      <c r="B81" s="66" t="s">
        <v>81</v>
      </c>
      <c r="C81" s="101" t="s">
        <v>639</v>
      </c>
      <c r="D81" t="s">
        <v>503</v>
      </c>
      <c r="E81" t="s">
        <v>20</v>
      </c>
      <c r="F81" s="116">
        <v>17</v>
      </c>
      <c r="G81" s="116" t="s">
        <v>310</v>
      </c>
      <c r="H81" s="141">
        <v>1.85</v>
      </c>
    </row>
    <row r="82" spans="1:8" x14ac:dyDescent="0.2">
      <c r="A82" s="137">
        <v>45646</v>
      </c>
      <c r="B82" s="66" t="s">
        <v>81</v>
      </c>
      <c r="C82" s="101" t="s">
        <v>639</v>
      </c>
      <c r="D82" t="s">
        <v>496</v>
      </c>
      <c r="E82" t="s">
        <v>23</v>
      </c>
      <c r="F82" s="116">
        <v>36</v>
      </c>
      <c r="G82" s="116" t="s">
        <v>313</v>
      </c>
      <c r="H82" s="141">
        <v>1.1000000000000001</v>
      </c>
    </row>
    <row r="83" spans="1:8" x14ac:dyDescent="0.2">
      <c r="A83" s="137">
        <v>45646</v>
      </c>
      <c r="B83" s="66" t="s">
        <v>81</v>
      </c>
      <c r="C83" s="101" t="s">
        <v>639</v>
      </c>
      <c r="D83" t="s">
        <v>504</v>
      </c>
      <c r="E83" t="s">
        <v>20</v>
      </c>
      <c r="F83" s="116">
        <v>16</v>
      </c>
      <c r="G83" s="116" t="s">
        <v>313</v>
      </c>
      <c r="H83" s="141">
        <v>1.5</v>
      </c>
    </row>
    <row r="84" spans="1:8" x14ac:dyDescent="0.2">
      <c r="A84" s="137">
        <v>45646</v>
      </c>
      <c r="B84" s="66" t="s">
        <v>81</v>
      </c>
      <c r="C84" s="101" t="s">
        <v>639</v>
      </c>
      <c r="D84" t="s">
        <v>505</v>
      </c>
      <c r="E84" t="s">
        <v>20</v>
      </c>
      <c r="F84" s="116">
        <v>11</v>
      </c>
      <c r="G84" s="116" t="s">
        <v>313</v>
      </c>
      <c r="H84" s="141">
        <v>0.05</v>
      </c>
    </row>
    <row r="85" spans="1:8" x14ac:dyDescent="0.2">
      <c r="A85" s="137">
        <v>45646</v>
      </c>
      <c r="B85" s="66" t="s">
        <v>81</v>
      </c>
      <c r="C85" s="101" t="s">
        <v>639</v>
      </c>
      <c r="D85" t="s">
        <v>506</v>
      </c>
      <c r="E85" t="s">
        <v>16</v>
      </c>
      <c r="F85" s="116">
        <v>17</v>
      </c>
      <c r="G85" s="116" t="s">
        <v>308</v>
      </c>
      <c r="H85" s="141">
        <v>12.85</v>
      </c>
    </row>
    <row r="86" spans="1:8" x14ac:dyDescent="0.2">
      <c r="A86" s="137">
        <v>45646</v>
      </c>
      <c r="B86" s="66" t="s">
        <v>81</v>
      </c>
      <c r="C86" s="101" t="s">
        <v>639</v>
      </c>
      <c r="D86" t="s">
        <v>507</v>
      </c>
      <c r="E86" t="s">
        <v>15</v>
      </c>
      <c r="F86" s="116">
        <v>2</v>
      </c>
      <c r="G86" s="116" t="s">
        <v>313</v>
      </c>
      <c r="H86" s="141">
        <v>0.55000000000000004</v>
      </c>
    </row>
    <row r="87" spans="1:8" x14ac:dyDescent="0.2">
      <c r="A87" s="137">
        <v>45646</v>
      </c>
      <c r="B87" s="66" t="s">
        <v>81</v>
      </c>
      <c r="C87" s="101" t="s">
        <v>639</v>
      </c>
      <c r="D87" t="s">
        <v>508</v>
      </c>
      <c r="E87" t="s">
        <v>15</v>
      </c>
      <c r="F87" s="116">
        <v>7</v>
      </c>
      <c r="G87" s="116" t="s">
        <v>308</v>
      </c>
      <c r="H87" s="141">
        <v>1.95</v>
      </c>
    </row>
    <row r="88" spans="1:8" x14ac:dyDescent="0.2">
      <c r="A88" s="137">
        <v>45646</v>
      </c>
      <c r="B88" s="66" t="s">
        <v>81</v>
      </c>
      <c r="C88" s="101" t="s">
        <v>639</v>
      </c>
      <c r="D88" t="s">
        <v>495</v>
      </c>
      <c r="E88" t="s">
        <v>15</v>
      </c>
      <c r="F88" s="116">
        <v>20</v>
      </c>
      <c r="G88" s="116" t="s">
        <v>309</v>
      </c>
      <c r="H88" s="141">
        <v>4.6500000000000004</v>
      </c>
    </row>
    <row r="89" spans="1:8" x14ac:dyDescent="0.2">
      <c r="A89" s="137">
        <v>45646</v>
      </c>
      <c r="B89" s="66" t="s">
        <v>81</v>
      </c>
      <c r="C89" s="101" t="s">
        <v>639</v>
      </c>
      <c r="D89" t="s">
        <v>332</v>
      </c>
      <c r="E89" t="s">
        <v>20</v>
      </c>
      <c r="F89" s="116">
        <v>19</v>
      </c>
      <c r="G89" s="116" t="s">
        <v>313</v>
      </c>
      <c r="H89" s="141">
        <v>2.0499999999999998</v>
      </c>
    </row>
    <row r="90" spans="1:8" x14ac:dyDescent="0.2">
      <c r="A90" s="137">
        <v>45646</v>
      </c>
      <c r="B90" s="66" t="s">
        <v>81</v>
      </c>
      <c r="C90" s="101" t="s">
        <v>639</v>
      </c>
      <c r="D90" t="s">
        <v>509</v>
      </c>
      <c r="E90" t="s">
        <v>16</v>
      </c>
      <c r="F90" s="116">
        <v>20</v>
      </c>
      <c r="G90" s="116" t="s">
        <v>307</v>
      </c>
      <c r="H90" s="141">
        <v>40</v>
      </c>
    </row>
    <row r="91" spans="1:8" x14ac:dyDescent="0.2">
      <c r="A91" s="137">
        <v>45646</v>
      </c>
      <c r="B91" s="66" t="s">
        <v>81</v>
      </c>
      <c r="C91" s="101" t="s">
        <v>639</v>
      </c>
      <c r="D91" t="s">
        <v>490</v>
      </c>
      <c r="E91" t="s">
        <v>13</v>
      </c>
      <c r="F91" s="116">
        <v>50</v>
      </c>
      <c r="G91" s="116" t="s">
        <v>313</v>
      </c>
      <c r="H91" s="141">
        <v>57.5</v>
      </c>
    </row>
    <row r="92" spans="1:8" x14ac:dyDescent="0.2">
      <c r="A92" s="137">
        <v>45645</v>
      </c>
      <c r="B92" s="66" t="s">
        <v>81</v>
      </c>
      <c r="C92" s="101" t="s">
        <v>632</v>
      </c>
      <c r="D92" t="s">
        <v>316</v>
      </c>
      <c r="E92" t="s">
        <v>16</v>
      </c>
      <c r="F92" s="116">
        <v>1</v>
      </c>
      <c r="G92" s="116" t="s">
        <v>308</v>
      </c>
      <c r="H92" s="141">
        <v>15</v>
      </c>
    </row>
    <row r="93" spans="1:8" x14ac:dyDescent="0.2">
      <c r="A93" s="137">
        <v>45645</v>
      </c>
      <c r="B93" s="66" t="s">
        <v>81</v>
      </c>
      <c r="C93" s="101" t="s">
        <v>632</v>
      </c>
      <c r="D93" t="s">
        <v>447</v>
      </c>
      <c r="E93" t="s">
        <v>13</v>
      </c>
      <c r="F93" s="116">
        <v>8</v>
      </c>
      <c r="G93" s="116" t="s">
        <v>308</v>
      </c>
      <c r="H93" s="141">
        <v>120</v>
      </c>
    </row>
    <row r="94" spans="1:8" x14ac:dyDescent="0.2">
      <c r="A94" s="137">
        <v>45645</v>
      </c>
      <c r="B94" s="66" t="s">
        <v>81</v>
      </c>
      <c r="C94" s="101" t="s">
        <v>633</v>
      </c>
      <c r="D94" t="s">
        <v>316</v>
      </c>
      <c r="E94" t="s">
        <v>16</v>
      </c>
      <c r="F94" s="116">
        <v>1</v>
      </c>
      <c r="G94" s="116" t="s">
        <v>308</v>
      </c>
      <c r="H94" s="141">
        <v>15</v>
      </c>
    </row>
    <row r="95" spans="1:8" x14ac:dyDescent="0.2">
      <c r="A95" s="137">
        <v>45645</v>
      </c>
      <c r="B95" s="66" t="s">
        <v>81</v>
      </c>
      <c r="C95" s="101" t="s">
        <v>633</v>
      </c>
      <c r="D95" t="s">
        <v>447</v>
      </c>
      <c r="E95" t="s">
        <v>13</v>
      </c>
      <c r="F95" s="116">
        <v>8</v>
      </c>
      <c r="G95" s="116" t="s">
        <v>308</v>
      </c>
      <c r="H95" s="141">
        <v>120</v>
      </c>
    </row>
    <row r="96" spans="1:8" x14ac:dyDescent="0.2">
      <c r="A96" s="137">
        <v>45645</v>
      </c>
      <c r="B96" s="66" t="s">
        <v>81</v>
      </c>
      <c r="C96" t="s">
        <v>232</v>
      </c>
      <c r="D96" t="s">
        <v>447</v>
      </c>
      <c r="E96" t="s">
        <v>13</v>
      </c>
      <c r="F96" s="116">
        <v>8</v>
      </c>
      <c r="G96" s="116" t="s">
        <v>308</v>
      </c>
      <c r="H96" s="141">
        <v>120</v>
      </c>
    </row>
    <row r="97" spans="1:8" x14ac:dyDescent="0.2">
      <c r="A97" s="137">
        <v>45654</v>
      </c>
      <c r="B97" s="66" t="s">
        <v>81</v>
      </c>
      <c r="C97" t="s">
        <v>186</v>
      </c>
      <c r="D97" t="s">
        <v>445</v>
      </c>
      <c r="E97" t="s">
        <v>15</v>
      </c>
      <c r="F97" s="116">
        <v>66</v>
      </c>
      <c r="G97" s="116" t="s">
        <v>313</v>
      </c>
      <c r="H97" s="141">
        <v>6.8</v>
      </c>
    </row>
    <row r="98" spans="1:8" ht="14.5" customHeight="1" x14ac:dyDescent="0.2">
      <c r="A98" s="137">
        <v>45654</v>
      </c>
      <c r="B98" s="66" t="s">
        <v>81</v>
      </c>
      <c r="C98" t="s">
        <v>186</v>
      </c>
      <c r="D98" t="s">
        <v>446</v>
      </c>
      <c r="E98" t="s">
        <v>149</v>
      </c>
      <c r="F98" s="116">
        <v>899</v>
      </c>
      <c r="G98" s="116" t="s">
        <v>313</v>
      </c>
      <c r="H98" s="141">
        <v>5.4</v>
      </c>
    </row>
    <row r="99" spans="1:8" x14ac:dyDescent="0.2">
      <c r="A99" s="137">
        <v>45654</v>
      </c>
      <c r="B99" s="66" t="s">
        <v>81</v>
      </c>
      <c r="C99" t="s">
        <v>186</v>
      </c>
      <c r="D99" t="s">
        <v>447</v>
      </c>
      <c r="E99" t="s">
        <v>13</v>
      </c>
      <c r="F99" s="116">
        <v>150</v>
      </c>
      <c r="G99" s="116" t="s">
        <v>313</v>
      </c>
      <c r="H99" s="141">
        <v>150</v>
      </c>
    </row>
    <row r="100" spans="1:8" x14ac:dyDescent="0.2">
      <c r="A100" s="137">
        <v>45646</v>
      </c>
      <c r="B100" s="66" t="s">
        <v>81</v>
      </c>
      <c r="C100" t="s">
        <v>202</v>
      </c>
      <c r="D100" t="s">
        <v>447</v>
      </c>
      <c r="E100" t="s">
        <v>13</v>
      </c>
      <c r="F100" s="116">
        <v>3</v>
      </c>
      <c r="G100" s="116" t="s">
        <v>308</v>
      </c>
      <c r="H100" s="141">
        <v>45</v>
      </c>
    </row>
    <row r="101" spans="1:8" x14ac:dyDescent="0.2">
      <c r="A101" s="66">
        <v>45631</v>
      </c>
      <c r="B101" s="66" t="s">
        <v>81</v>
      </c>
      <c r="C101" s="101" t="s">
        <v>634</v>
      </c>
      <c r="D101" t="s">
        <v>317</v>
      </c>
      <c r="E101" t="s">
        <v>16</v>
      </c>
      <c r="F101" s="116">
        <v>3</v>
      </c>
      <c r="G101" s="116" t="s">
        <v>308</v>
      </c>
      <c r="H101" s="141">
        <v>45.1</v>
      </c>
    </row>
    <row r="102" spans="1:8" x14ac:dyDescent="0.2">
      <c r="A102" s="66">
        <v>45638</v>
      </c>
      <c r="B102" s="66" t="s">
        <v>81</v>
      </c>
      <c r="C102" s="101" t="s">
        <v>637</v>
      </c>
      <c r="D102" t="s">
        <v>509</v>
      </c>
      <c r="E102" t="s">
        <v>16</v>
      </c>
      <c r="F102" s="116">
        <v>20</v>
      </c>
      <c r="G102" s="116" t="s">
        <v>307</v>
      </c>
      <c r="H102" s="141">
        <v>40</v>
      </c>
    </row>
    <row r="103" spans="1:8" x14ac:dyDescent="0.2">
      <c r="A103" s="66">
        <v>45638</v>
      </c>
      <c r="B103" s="66" t="s">
        <v>81</v>
      </c>
      <c r="C103" s="101" t="s">
        <v>637</v>
      </c>
      <c r="D103" t="s">
        <v>542</v>
      </c>
      <c r="E103" t="s">
        <v>13</v>
      </c>
      <c r="F103" s="116">
        <v>2</v>
      </c>
      <c r="G103" s="116" t="s">
        <v>308</v>
      </c>
      <c r="H103" s="141">
        <v>25.9</v>
      </c>
    </row>
    <row r="104" spans="1:8" x14ac:dyDescent="0.2">
      <c r="A104" s="66">
        <v>45638</v>
      </c>
      <c r="B104" s="66" t="s">
        <v>81</v>
      </c>
      <c r="C104" s="101" t="s">
        <v>637</v>
      </c>
      <c r="D104" t="s">
        <v>544</v>
      </c>
      <c r="E104" t="s">
        <v>21</v>
      </c>
      <c r="F104" s="116">
        <v>30</v>
      </c>
      <c r="G104" s="116" t="s">
        <v>311</v>
      </c>
      <c r="H104" s="141">
        <v>22.8</v>
      </c>
    </row>
    <row r="105" spans="1:8" x14ac:dyDescent="0.2">
      <c r="A105" s="66">
        <v>45638</v>
      </c>
      <c r="B105" s="66" t="s">
        <v>81</v>
      </c>
      <c r="C105" s="101" t="s">
        <v>637</v>
      </c>
      <c r="D105" t="s">
        <v>545</v>
      </c>
      <c r="E105" t="s">
        <v>20</v>
      </c>
      <c r="F105" s="116">
        <v>8</v>
      </c>
      <c r="G105" s="116" t="s">
        <v>313</v>
      </c>
      <c r="H105" s="141">
        <v>2</v>
      </c>
    </row>
    <row r="106" spans="1:8" x14ac:dyDescent="0.2">
      <c r="A106" s="66">
        <v>45638</v>
      </c>
      <c r="B106" s="66" t="s">
        <v>81</v>
      </c>
      <c r="C106" s="101" t="s">
        <v>637</v>
      </c>
      <c r="D106" t="s">
        <v>543</v>
      </c>
      <c r="E106" t="s">
        <v>16</v>
      </c>
      <c r="F106" s="116">
        <v>13</v>
      </c>
      <c r="G106" s="116" t="s">
        <v>308</v>
      </c>
      <c r="H106" s="141">
        <v>2.5</v>
      </c>
    </row>
    <row r="107" spans="1:8" x14ac:dyDescent="0.2">
      <c r="A107" s="66">
        <v>45629</v>
      </c>
      <c r="B107" s="66" t="s">
        <v>81</v>
      </c>
      <c r="C107" t="s">
        <v>205</v>
      </c>
      <c r="D107" t="s">
        <v>324</v>
      </c>
      <c r="E107" t="s">
        <v>16</v>
      </c>
      <c r="F107" s="116">
        <v>1</v>
      </c>
      <c r="G107" s="116" t="s">
        <v>307</v>
      </c>
      <c r="H107" s="141">
        <v>10</v>
      </c>
    </row>
    <row r="108" spans="1:8" x14ac:dyDescent="0.2">
      <c r="A108" s="66">
        <v>45629</v>
      </c>
      <c r="B108" s="66" t="s">
        <v>81</v>
      </c>
      <c r="C108" t="s">
        <v>205</v>
      </c>
      <c r="D108" t="s">
        <v>316</v>
      </c>
      <c r="E108" t="s">
        <v>16</v>
      </c>
      <c r="F108" s="116">
        <v>2</v>
      </c>
      <c r="G108" s="116" t="s">
        <v>308</v>
      </c>
      <c r="H108" s="141">
        <v>30</v>
      </c>
    </row>
    <row r="109" spans="1:8" x14ac:dyDescent="0.2">
      <c r="A109" s="66">
        <v>45629</v>
      </c>
      <c r="B109" s="66" t="s">
        <v>81</v>
      </c>
      <c r="C109" t="s">
        <v>205</v>
      </c>
      <c r="D109" t="s">
        <v>590</v>
      </c>
      <c r="E109" t="s">
        <v>21</v>
      </c>
      <c r="F109" s="116">
        <v>3</v>
      </c>
      <c r="G109" s="116" t="s">
        <v>310</v>
      </c>
      <c r="H109" s="141">
        <v>3.05</v>
      </c>
    </row>
    <row r="110" spans="1:8" x14ac:dyDescent="0.2">
      <c r="A110" s="66">
        <v>45629</v>
      </c>
      <c r="B110" s="66" t="s">
        <v>81</v>
      </c>
      <c r="C110" t="s">
        <v>205</v>
      </c>
      <c r="D110" t="s">
        <v>591</v>
      </c>
      <c r="E110" t="s">
        <v>21</v>
      </c>
      <c r="F110" s="116">
        <v>13</v>
      </c>
      <c r="G110" s="116" t="s">
        <v>310</v>
      </c>
      <c r="H110" s="141">
        <v>2.8</v>
      </c>
    </row>
    <row r="111" spans="1:8" x14ac:dyDescent="0.2">
      <c r="A111" s="66">
        <v>45629</v>
      </c>
      <c r="B111" s="66" t="s">
        <v>81</v>
      </c>
      <c r="C111" t="s">
        <v>205</v>
      </c>
      <c r="D111" t="s">
        <v>592</v>
      </c>
      <c r="E111" t="s">
        <v>16</v>
      </c>
      <c r="F111" s="116">
        <v>12</v>
      </c>
      <c r="G111" s="116" t="s">
        <v>308</v>
      </c>
      <c r="H111" s="141">
        <v>6.6</v>
      </c>
    </row>
    <row r="112" spans="1:8" x14ac:dyDescent="0.2">
      <c r="A112" s="66">
        <v>45629</v>
      </c>
      <c r="B112" s="66" t="s">
        <v>81</v>
      </c>
      <c r="C112" t="s">
        <v>205</v>
      </c>
      <c r="D112" t="s">
        <v>593</v>
      </c>
      <c r="E112" t="s">
        <v>20</v>
      </c>
      <c r="F112" s="116">
        <v>9</v>
      </c>
      <c r="G112" s="116" t="s">
        <v>313</v>
      </c>
      <c r="H112" s="141">
        <v>0.55000000000000004</v>
      </c>
    </row>
    <row r="113" spans="1:8" x14ac:dyDescent="0.2">
      <c r="A113" s="66">
        <v>45629</v>
      </c>
      <c r="B113" s="66" t="s">
        <v>81</v>
      </c>
      <c r="C113" t="s">
        <v>205</v>
      </c>
      <c r="D113" t="s">
        <v>333</v>
      </c>
      <c r="E113" t="s">
        <v>20</v>
      </c>
      <c r="F113" s="116">
        <v>58</v>
      </c>
      <c r="G113" s="116" t="s">
        <v>313</v>
      </c>
      <c r="H113" s="141">
        <v>1.65</v>
      </c>
    </row>
    <row r="114" spans="1:8" x14ac:dyDescent="0.2">
      <c r="A114" s="66">
        <v>45629</v>
      </c>
      <c r="B114" s="66" t="s">
        <v>81</v>
      </c>
      <c r="C114" t="s">
        <v>205</v>
      </c>
      <c r="D114" t="s">
        <v>594</v>
      </c>
      <c r="E114" t="s">
        <v>20</v>
      </c>
      <c r="F114" s="116">
        <v>3</v>
      </c>
      <c r="G114" s="116" t="s">
        <v>313</v>
      </c>
      <c r="H114" s="141">
        <v>0.15</v>
      </c>
    </row>
    <row r="115" spans="1:8" x14ac:dyDescent="0.2">
      <c r="A115" s="137">
        <v>45646</v>
      </c>
      <c r="B115" s="66" t="s">
        <v>81</v>
      </c>
      <c r="C115" t="s">
        <v>208</v>
      </c>
      <c r="D115" t="s">
        <v>453</v>
      </c>
      <c r="E115" t="s">
        <v>20</v>
      </c>
      <c r="F115" s="116">
        <v>1</v>
      </c>
      <c r="G115" s="116" t="s">
        <v>313</v>
      </c>
      <c r="H115" s="141">
        <v>0.1</v>
      </c>
    </row>
    <row r="116" spans="1:8" x14ac:dyDescent="0.2">
      <c r="A116" s="137">
        <v>45646</v>
      </c>
      <c r="B116" s="66" t="s">
        <v>81</v>
      </c>
      <c r="C116" t="s">
        <v>208</v>
      </c>
      <c r="D116" t="s">
        <v>454</v>
      </c>
      <c r="E116" t="s">
        <v>20</v>
      </c>
      <c r="F116" s="116">
        <v>1</v>
      </c>
      <c r="G116" s="116" t="s">
        <v>313</v>
      </c>
      <c r="H116" s="141">
        <v>0.2</v>
      </c>
    </row>
    <row r="117" spans="1:8" x14ac:dyDescent="0.2">
      <c r="A117" s="137">
        <v>45646</v>
      </c>
      <c r="B117" s="66" t="s">
        <v>81</v>
      </c>
      <c r="C117" t="s">
        <v>208</v>
      </c>
      <c r="D117" t="s">
        <v>455</v>
      </c>
      <c r="E117" t="s">
        <v>20</v>
      </c>
      <c r="F117" s="116">
        <v>1</v>
      </c>
      <c r="G117" s="116" t="s">
        <v>313</v>
      </c>
      <c r="H117" s="141">
        <v>0.15</v>
      </c>
    </row>
    <row r="118" spans="1:8" x14ac:dyDescent="0.2">
      <c r="A118" s="137">
        <v>45646</v>
      </c>
      <c r="B118" s="66" t="s">
        <v>81</v>
      </c>
      <c r="C118" t="s">
        <v>208</v>
      </c>
      <c r="D118" t="s">
        <v>456</v>
      </c>
      <c r="E118" t="s">
        <v>23</v>
      </c>
      <c r="F118" s="116">
        <v>1</v>
      </c>
      <c r="G118" s="116" t="s">
        <v>313</v>
      </c>
      <c r="H118" s="141">
        <v>0.1</v>
      </c>
    </row>
    <row r="119" spans="1:8" x14ac:dyDescent="0.2">
      <c r="A119" s="137">
        <v>45646</v>
      </c>
      <c r="B119" s="66" t="s">
        <v>81</v>
      </c>
      <c r="C119" t="s">
        <v>208</v>
      </c>
      <c r="D119" t="s">
        <v>457</v>
      </c>
      <c r="E119" t="s">
        <v>15</v>
      </c>
      <c r="F119" s="116">
        <v>1</v>
      </c>
      <c r="G119" s="116" t="s">
        <v>313</v>
      </c>
      <c r="H119" s="141">
        <v>0.2</v>
      </c>
    </row>
    <row r="120" spans="1:8" x14ac:dyDescent="0.2">
      <c r="A120" s="137">
        <v>45646</v>
      </c>
      <c r="B120" s="66" t="s">
        <v>81</v>
      </c>
      <c r="C120" t="s">
        <v>208</v>
      </c>
      <c r="D120" t="s">
        <v>458</v>
      </c>
      <c r="E120" t="s">
        <v>15</v>
      </c>
      <c r="F120" s="116">
        <v>1</v>
      </c>
      <c r="G120" s="116" t="s">
        <v>313</v>
      </c>
      <c r="H120" s="141">
        <v>0.35</v>
      </c>
    </row>
    <row r="121" spans="1:8" x14ac:dyDescent="0.2">
      <c r="A121" s="137">
        <v>45646</v>
      </c>
      <c r="B121" s="66" t="s">
        <v>81</v>
      </c>
      <c r="C121" t="s">
        <v>208</v>
      </c>
      <c r="D121" t="s">
        <v>459</v>
      </c>
      <c r="E121" t="s">
        <v>20</v>
      </c>
      <c r="F121" s="116">
        <v>1</v>
      </c>
      <c r="G121" s="116" t="s">
        <v>310</v>
      </c>
      <c r="H121" s="141">
        <v>0.2</v>
      </c>
    </row>
    <row r="122" spans="1:8" x14ac:dyDescent="0.2">
      <c r="A122" s="137">
        <v>45646</v>
      </c>
      <c r="B122" s="66" t="s">
        <v>81</v>
      </c>
      <c r="C122" t="s">
        <v>208</v>
      </c>
      <c r="D122" t="s">
        <v>460</v>
      </c>
      <c r="E122" t="s">
        <v>20</v>
      </c>
      <c r="F122" s="116">
        <v>1</v>
      </c>
      <c r="G122" s="116" t="s">
        <v>313</v>
      </c>
      <c r="H122" s="141">
        <v>0.45</v>
      </c>
    </row>
    <row r="123" spans="1:8" x14ac:dyDescent="0.2">
      <c r="A123" s="137">
        <v>45646</v>
      </c>
      <c r="B123" s="66" t="s">
        <v>81</v>
      </c>
      <c r="C123" t="s">
        <v>208</v>
      </c>
      <c r="D123" t="s">
        <v>461</v>
      </c>
      <c r="E123" t="s">
        <v>20</v>
      </c>
      <c r="F123" s="116">
        <v>5</v>
      </c>
      <c r="G123" s="116" t="s">
        <v>313</v>
      </c>
      <c r="H123" s="141">
        <v>0.85</v>
      </c>
    </row>
    <row r="124" spans="1:8" x14ac:dyDescent="0.2">
      <c r="A124" s="137">
        <v>45646</v>
      </c>
      <c r="B124" s="66" t="s">
        <v>81</v>
      </c>
      <c r="C124" t="s">
        <v>208</v>
      </c>
      <c r="D124" t="s">
        <v>462</v>
      </c>
      <c r="E124" t="s">
        <v>23</v>
      </c>
      <c r="F124" s="116">
        <v>9</v>
      </c>
      <c r="G124" s="116" t="s">
        <v>310</v>
      </c>
      <c r="H124" s="141">
        <v>9.4499999999999993</v>
      </c>
    </row>
    <row r="125" spans="1:8" x14ac:dyDescent="0.2">
      <c r="A125" s="137">
        <v>45646</v>
      </c>
      <c r="B125" s="66" t="s">
        <v>81</v>
      </c>
      <c r="C125" t="s">
        <v>208</v>
      </c>
      <c r="D125" t="s">
        <v>463</v>
      </c>
      <c r="E125" t="s">
        <v>21</v>
      </c>
      <c r="F125" s="116">
        <v>10</v>
      </c>
      <c r="G125" s="116" t="s">
        <v>310</v>
      </c>
      <c r="H125" s="141">
        <v>2.0499999999999998</v>
      </c>
    </row>
    <row r="126" spans="1:8" x14ac:dyDescent="0.2">
      <c r="A126" s="137">
        <v>45646</v>
      </c>
      <c r="B126" s="66" t="s">
        <v>81</v>
      </c>
      <c r="C126" t="s">
        <v>208</v>
      </c>
      <c r="D126" t="s">
        <v>464</v>
      </c>
      <c r="E126" t="s">
        <v>20</v>
      </c>
      <c r="F126" s="116">
        <v>2</v>
      </c>
      <c r="G126" s="116" t="s">
        <v>313</v>
      </c>
      <c r="H126" s="141">
        <v>0.05</v>
      </c>
    </row>
    <row r="127" spans="1:8" x14ac:dyDescent="0.2">
      <c r="A127" s="137">
        <v>45646</v>
      </c>
      <c r="B127" s="66" t="s">
        <v>81</v>
      </c>
      <c r="C127" t="s">
        <v>208</v>
      </c>
      <c r="D127" t="s">
        <v>465</v>
      </c>
      <c r="E127" t="s">
        <v>19</v>
      </c>
      <c r="F127" s="116">
        <v>1</v>
      </c>
      <c r="G127" s="116" t="s">
        <v>312</v>
      </c>
      <c r="H127" s="141">
        <v>0.2</v>
      </c>
    </row>
    <row r="128" spans="1:8" ht="14.5" customHeight="1" x14ac:dyDescent="0.2">
      <c r="A128" s="137">
        <v>45646</v>
      </c>
      <c r="B128" s="66" t="s">
        <v>81</v>
      </c>
      <c r="C128" t="s">
        <v>208</v>
      </c>
      <c r="D128" t="s">
        <v>466</v>
      </c>
      <c r="E128" t="s">
        <v>14</v>
      </c>
      <c r="F128" s="116">
        <v>1</v>
      </c>
      <c r="G128" s="116" t="s">
        <v>312</v>
      </c>
      <c r="H128" s="141">
        <v>0.45</v>
      </c>
    </row>
    <row r="129" spans="1:8" x14ac:dyDescent="0.2">
      <c r="A129" s="137">
        <v>45646</v>
      </c>
      <c r="B129" s="66" t="s">
        <v>81</v>
      </c>
      <c r="C129" t="s">
        <v>208</v>
      </c>
      <c r="D129" t="s">
        <v>467</v>
      </c>
      <c r="E129" t="s">
        <v>13</v>
      </c>
      <c r="F129" s="116">
        <v>2</v>
      </c>
      <c r="G129" s="116" t="s">
        <v>312</v>
      </c>
      <c r="H129" s="141">
        <v>0.95</v>
      </c>
    </row>
    <row r="130" spans="1:8" x14ac:dyDescent="0.2">
      <c r="A130" s="137">
        <v>45646</v>
      </c>
      <c r="B130" s="66" t="s">
        <v>81</v>
      </c>
      <c r="C130" t="s">
        <v>208</v>
      </c>
      <c r="D130" t="s">
        <v>468</v>
      </c>
      <c r="E130" t="s">
        <v>17</v>
      </c>
      <c r="F130" s="116">
        <v>50</v>
      </c>
      <c r="G130" s="116" t="s">
        <v>313</v>
      </c>
      <c r="H130" s="141">
        <v>1.1000000000000001</v>
      </c>
    </row>
    <row r="131" spans="1:8" x14ac:dyDescent="0.2">
      <c r="A131" s="137">
        <v>45646</v>
      </c>
      <c r="B131" s="66" t="s">
        <v>81</v>
      </c>
      <c r="C131" t="s">
        <v>208</v>
      </c>
      <c r="D131" t="s">
        <v>469</v>
      </c>
      <c r="E131" t="s">
        <v>15</v>
      </c>
      <c r="F131" s="116">
        <v>18</v>
      </c>
      <c r="G131" s="116" t="s">
        <v>311</v>
      </c>
      <c r="H131" s="141">
        <v>1.8</v>
      </c>
    </row>
    <row r="132" spans="1:8" x14ac:dyDescent="0.2">
      <c r="A132" s="137">
        <v>45646</v>
      </c>
      <c r="B132" s="66" t="s">
        <v>81</v>
      </c>
      <c r="C132" t="s">
        <v>208</v>
      </c>
      <c r="D132" t="s">
        <v>470</v>
      </c>
      <c r="E132" t="s">
        <v>15</v>
      </c>
      <c r="F132" s="116">
        <v>1</v>
      </c>
      <c r="G132" s="116" t="s">
        <v>311</v>
      </c>
      <c r="H132" s="141">
        <v>0.1</v>
      </c>
    </row>
    <row r="133" spans="1:8" x14ac:dyDescent="0.2">
      <c r="A133" s="137">
        <v>45646</v>
      </c>
      <c r="B133" s="66" t="s">
        <v>81</v>
      </c>
      <c r="C133" t="s">
        <v>208</v>
      </c>
      <c r="D133" t="s">
        <v>471</v>
      </c>
      <c r="E133" t="s">
        <v>15</v>
      </c>
      <c r="F133" s="116">
        <v>8</v>
      </c>
      <c r="G133" s="116" t="s">
        <v>311</v>
      </c>
      <c r="H133" s="141">
        <v>3.1</v>
      </c>
    </row>
    <row r="134" spans="1:8" x14ac:dyDescent="0.2">
      <c r="A134" s="137">
        <v>45646</v>
      </c>
      <c r="B134" s="66" t="s">
        <v>81</v>
      </c>
      <c r="C134" t="s">
        <v>208</v>
      </c>
      <c r="D134" t="s">
        <v>335</v>
      </c>
      <c r="E134" t="s">
        <v>17</v>
      </c>
      <c r="F134" s="116">
        <v>8</v>
      </c>
      <c r="G134" s="116" t="s">
        <v>308</v>
      </c>
      <c r="H134" s="141">
        <v>0.75</v>
      </c>
    </row>
    <row r="135" spans="1:8" x14ac:dyDescent="0.2">
      <c r="A135" s="137">
        <v>45646</v>
      </c>
      <c r="B135" s="66" t="s">
        <v>81</v>
      </c>
      <c r="C135" t="s">
        <v>208</v>
      </c>
      <c r="D135" t="s">
        <v>472</v>
      </c>
      <c r="E135" t="s">
        <v>17</v>
      </c>
      <c r="F135" s="116">
        <v>9</v>
      </c>
      <c r="G135" s="116" t="s">
        <v>308</v>
      </c>
      <c r="H135" s="141">
        <v>1.3</v>
      </c>
    </row>
    <row r="136" spans="1:8" x14ac:dyDescent="0.2">
      <c r="A136" s="137">
        <v>45646</v>
      </c>
      <c r="B136" s="66" t="s">
        <v>81</v>
      </c>
      <c r="C136" t="s">
        <v>208</v>
      </c>
      <c r="D136" t="s">
        <v>317</v>
      </c>
      <c r="E136" t="s">
        <v>16</v>
      </c>
      <c r="F136" s="116">
        <v>5</v>
      </c>
      <c r="G136" s="116" t="s">
        <v>308</v>
      </c>
      <c r="H136" s="141">
        <v>75</v>
      </c>
    </row>
    <row r="137" spans="1:8" x14ac:dyDescent="0.2">
      <c r="A137" s="137">
        <v>45646</v>
      </c>
      <c r="B137" s="66" t="s">
        <v>81</v>
      </c>
      <c r="C137" t="s">
        <v>208</v>
      </c>
      <c r="D137" t="s">
        <v>473</v>
      </c>
      <c r="E137" t="s">
        <v>20</v>
      </c>
      <c r="F137" s="116">
        <v>21</v>
      </c>
      <c r="G137" s="116" t="s">
        <v>313</v>
      </c>
      <c r="H137" s="141">
        <v>0.8</v>
      </c>
    </row>
    <row r="138" spans="1:8" x14ac:dyDescent="0.2">
      <c r="A138" s="137">
        <v>45646</v>
      </c>
      <c r="B138" s="66" t="s">
        <v>81</v>
      </c>
      <c r="C138" t="s">
        <v>208</v>
      </c>
      <c r="D138" t="s">
        <v>474</v>
      </c>
      <c r="E138" t="s">
        <v>20</v>
      </c>
      <c r="F138" s="116">
        <v>21</v>
      </c>
      <c r="G138" s="116" t="s">
        <v>311</v>
      </c>
      <c r="H138" s="141">
        <v>4.2</v>
      </c>
    </row>
    <row r="139" spans="1:8" x14ac:dyDescent="0.2">
      <c r="A139" s="137">
        <v>45646</v>
      </c>
      <c r="B139" s="66" t="s">
        <v>81</v>
      </c>
      <c r="C139" t="s">
        <v>208</v>
      </c>
      <c r="D139" t="s">
        <v>332</v>
      </c>
      <c r="E139" t="s">
        <v>20</v>
      </c>
      <c r="F139" s="116">
        <v>6</v>
      </c>
      <c r="G139" s="116" t="s">
        <v>313</v>
      </c>
      <c r="H139" s="141">
        <v>0.65</v>
      </c>
    </row>
    <row r="140" spans="1:8" x14ac:dyDescent="0.2">
      <c r="A140" s="137">
        <v>45646</v>
      </c>
      <c r="B140" s="66" t="s">
        <v>81</v>
      </c>
      <c r="C140" t="s">
        <v>208</v>
      </c>
      <c r="D140" t="s">
        <v>475</v>
      </c>
      <c r="E140" t="s">
        <v>23</v>
      </c>
      <c r="F140" s="116">
        <v>8</v>
      </c>
      <c r="G140" s="116" t="s">
        <v>310</v>
      </c>
      <c r="H140" s="141">
        <v>2.95</v>
      </c>
    </row>
    <row r="141" spans="1:8" x14ac:dyDescent="0.2">
      <c r="A141" s="137">
        <v>45646</v>
      </c>
      <c r="B141" s="66" t="s">
        <v>81</v>
      </c>
      <c r="C141" t="s">
        <v>208</v>
      </c>
      <c r="D141" t="s">
        <v>476</v>
      </c>
      <c r="E141" t="s">
        <v>20</v>
      </c>
      <c r="F141" s="116">
        <v>5</v>
      </c>
      <c r="G141" s="116" t="s">
        <v>313</v>
      </c>
      <c r="H141" s="141">
        <v>0.55000000000000004</v>
      </c>
    </row>
    <row r="142" spans="1:8" x14ac:dyDescent="0.2">
      <c r="A142" s="137">
        <v>45646</v>
      </c>
      <c r="B142" s="66" t="s">
        <v>81</v>
      </c>
      <c r="C142" t="s">
        <v>208</v>
      </c>
      <c r="D142" t="s">
        <v>477</v>
      </c>
      <c r="E142" t="s">
        <v>15</v>
      </c>
      <c r="F142" s="116">
        <v>3</v>
      </c>
      <c r="G142" s="116" t="s">
        <v>313</v>
      </c>
      <c r="H142" s="141">
        <v>0.95</v>
      </c>
    </row>
    <row r="143" spans="1:8" x14ac:dyDescent="0.2">
      <c r="A143" s="137">
        <v>45646</v>
      </c>
      <c r="B143" s="66" t="s">
        <v>81</v>
      </c>
      <c r="C143" t="s">
        <v>208</v>
      </c>
      <c r="D143" t="s">
        <v>478</v>
      </c>
      <c r="E143" t="s">
        <v>23</v>
      </c>
      <c r="F143" s="116">
        <v>14</v>
      </c>
      <c r="G143" s="116" t="s">
        <v>310</v>
      </c>
      <c r="H143" s="141">
        <v>5.2</v>
      </c>
    </row>
    <row r="144" spans="1:8" x14ac:dyDescent="0.2">
      <c r="A144" s="137">
        <v>45646</v>
      </c>
      <c r="B144" s="66" t="s">
        <v>81</v>
      </c>
      <c r="C144" t="s">
        <v>208</v>
      </c>
      <c r="D144" t="s">
        <v>479</v>
      </c>
      <c r="E144" t="s">
        <v>16</v>
      </c>
      <c r="F144" s="116">
        <v>10</v>
      </c>
      <c r="G144" s="116" t="s">
        <v>308</v>
      </c>
      <c r="H144" s="141">
        <v>5.6</v>
      </c>
    </row>
    <row r="145" spans="1:8" x14ac:dyDescent="0.2">
      <c r="A145" s="137">
        <v>45646</v>
      </c>
      <c r="B145" s="66" t="s">
        <v>81</v>
      </c>
      <c r="C145" t="s">
        <v>208</v>
      </c>
      <c r="D145" t="s">
        <v>480</v>
      </c>
      <c r="E145" t="s">
        <v>16</v>
      </c>
      <c r="F145" s="116">
        <v>1</v>
      </c>
      <c r="G145" s="116" t="s">
        <v>308</v>
      </c>
      <c r="H145" s="141">
        <v>0.55000000000000004</v>
      </c>
    </row>
    <row r="146" spans="1:8" x14ac:dyDescent="0.2">
      <c r="A146" s="137">
        <v>45646</v>
      </c>
      <c r="B146" s="66" t="s">
        <v>81</v>
      </c>
      <c r="C146" t="s">
        <v>208</v>
      </c>
      <c r="D146" t="s">
        <v>481</v>
      </c>
      <c r="E146" t="s">
        <v>16</v>
      </c>
      <c r="F146" s="116">
        <v>6</v>
      </c>
      <c r="G146" s="116" t="s">
        <v>308</v>
      </c>
      <c r="H146" s="141">
        <v>1.25</v>
      </c>
    </row>
    <row r="147" spans="1:8" x14ac:dyDescent="0.2">
      <c r="A147" s="137">
        <v>45646</v>
      </c>
      <c r="B147" s="66" t="s">
        <v>81</v>
      </c>
      <c r="C147" t="s">
        <v>208</v>
      </c>
      <c r="D147" t="s">
        <v>336</v>
      </c>
      <c r="E147" t="s">
        <v>20</v>
      </c>
      <c r="F147" s="116">
        <v>20</v>
      </c>
      <c r="G147" s="116" t="s">
        <v>311</v>
      </c>
      <c r="H147" s="141">
        <v>3.6</v>
      </c>
    </row>
    <row r="148" spans="1:8" x14ac:dyDescent="0.2">
      <c r="A148" s="137">
        <v>45646</v>
      </c>
      <c r="B148" s="66" t="s">
        <v>81</v>
      </c>
      <c r="C148" t="s">
        <v>208</v>
      </c>
      <c r="D148" t="s">
        <v>482</v>
      </c>
      <c r="E148" t="s">
        <v>20</v>
      </c>
      <c r="F148" s="116">
        <v>17</v>
      </c>
      <c r="G148" s="116" t="s">
        <v>308</v>
      </c>
      <c r="H148" s="141">
        <v>1.5</v>
      </c>
    </row>
    <row r="149" spans="1:8" x14ac:dyDescent="0.2">
      <c r="A149" s="137">
        <v>45646</v>
      </c>
      <c r="B149" s="66" t="s">
        <v>81</v>
      </c>
      <c r="C149" t="s">
        <v>208</v>
      </c>
      <c r="D149" t="s">
        <v>483</v>
      </c>
      <c r="E149" t="s">
        <v>21</v>
      </c>
      <c r="F149" s="116">
        <v>10</v>
      </c>
      <c r="G149" s="116" t="s">
        <v>311</v>
      </c>
      <c r="H149" s="141">
        <v>6.4</v>
      </c>
    </row>
    <row r="150" spans="1:8" x14ac:dyDescent="0.2">
      <c r="A150" s="137">
        <v>45646</v>
      </c>
      <c r="B150" s="66" t="s">
        <v>81</v>
      </c>
      <c r="C150" t="s">
        <v>208</v>
      </c>
      <c r="D150" t="s">
        <v>484</v>
      </c>
      <c r="E150" t="s">
        <v>16</v>
      </c>
      <c r="F150" s="116">
        <v>37</v>
      </c>
      <c r="G150" s="116" t="s">
        <v>308</v>
      </c>
      <c r="H150" s="141">
        <v>9.85</v>
      </c>
    </row>
    <row r="151" spans="1:8" x14ac:dyDescent="0.2">
      <c r="A151" s="137">
        <v>45646</v>
      </c>
      <c r="B151" s="66" t="s">
        <v>81</v>
      </c>
      <c r="C151" t="s">
        <v>208</v>
      </c>
      <c r="D151" t="s">
        <v>485</v>
      </c>
      <c r="E151" t="s">
        <v>20</v>
      </c>
      <c r="F151" s="116">
        <v>7</v>
      </c>
      <c r="G151" s="116" t="s">
        <v>313</v>
      </c>
      <c r="H151" s="141">
        <v>1.05</v>
      </c>
    </row>
    <row r="152" spans="1:8" x14ac:dyDescent="0.2">
      <c r="A152" s="137">
        <v>45646</v>
      </c>
      <c r="B152" s="66" t="s">
        <v>81</v>
      </c>
      <c r="C152" t="s">
        <v>208</v>
      </c>
      <c r="D152" t="s">
        <v>486</v>
      </c>
      <c r="E152" t="s">
        <v>15</v>
      </c>
      <c r="F152" s="116">
        <v>9</v>
      </c>
      <c r="G152" s="116" t="s">
        <v>313</v>
      </c>
      <c r="H152" s="141">
        <v>2</v>
      </c>
    </row>
    <row r="153" spans="1:8" x14ac:dyDescent="0.2">
      <c r="A153" s="137">
        <v>45646</v>
      </c>
      <c r="B153" s="66" t="s">
        <v>81</v>
      </c>
      <c r="C153" t="s">
        <v>208</v>
      </c>
      <c r="D153" t="s">
        <v>487</v>
      </c>
      <c r="E153" t="s">
        <v>13</v>
      </c>
      <c r="F153" s="116">
        <v>3</v>
      </c>
      <c r="G153" s="116" t="s">
        <v>312</v>
      </c>
      <c r="H153" s="141">
        <v>0.9</v>
      </c>
    </row>
    <row r="154" spans="1:8" x14ac:dyDescent="0.2">
      <c r="A154" s="137">
        <v>45646</v>
      </c>
      <c r="B154" s="66" t="s">
        <v>81</v>
      </c>
      <c r="C154" t="s">
        <v>208</v>
      </c>
      <c r="D154" t="s">
        <v>488</v>
      </c>
      <c r="E154" t="s">
        <v>17</v>
      </c>
      <c r="F154" s="116">
        <v>47</v>
      </c>
      <c r="G154" s="116" t="s">
        <v>313</v>
      </c>
      <c r="H154" s="141">
        <v>6.9</v>
      </c>
    </row>
    <row r="155" spans="1:8" x14ac:dyDescent="0.2">
      <c r="A155" s="137">
        <v>45646</v>
      </c>
      <c r="B155" s="66" t="s">
        <v>81</v>
      </c>
      <c r="C155" t="s">
        <v>208</v>
      </c>
      <c r="D155" t="s">
        <v>489</v>
      </c>
      <c r="E155" t="s">
        <v>23</v>
      </c>
      <c r="F155" s="116">
        <v>6</v>
      </c>
      <c r="G155" s="116" t="s">
        <v>310</v>
      </c>
      <c r="H155" s="141">
        <v>17.149999999999999</v>
      </c>
    </row>
    <row r="156" spans="1:8" x14ac:dyDescent="0.2">
      <c r="A156" s="137">
        <v>45646</v>
      </c>
      <c r="B156" s="66" t="s">
        <v>81</v>
      </c>
      <c r="C156" t="s">
        <v>208</v>
      </c>
      <c r="D156" t="s">
        <v>451</v>
      </c>
      <c r="E156" t="s">
        <v>16</v>
      </c>
      <c r="F156" s="116">
        <v>20</v>
      </c>
      <c r="G156" s="116" t="s">
        <v>307</v>
      </c>
      <c r="H156" s="141">
        <v>40</v>
      </c>
    </row>
    <row r="157" spans="1:8" x14ac:dyDescent="0.2">
      <c r="A157" s="137">
        <v>45646</v>
      </c>
      <c r="B157" s="66" t="s">
        <v>81</v>
      </c>
      <c r="C157" t="s">
        <v>208</v>
      </c>
      <c r="D157" t="s">
        <v>490</v>
      </c>
      <c r="E157" t="s">
        <v>13</v>
      </c>
      <c r="F157" s="116">
        <v>50</v>
      </c>
      <c r="G157" s="116" t="s">
        <v>313</v>
      </c>
      <c r="H157" s="141">
        <v>57.5</v>
      </c>
    </row>
    <row r="158" spans="1:8" x14ac:dyDescent="0.2">
      <c r="A158" s="137">
        <v>45646</v>
      </c>
      <c r="B158" s="66" t="s">
        <v>81</v>
      </c>
      <c r="C158" t="s">
        <v>208</v>
      </c>
      <c r="D158" t="s">
        <v>491</v>
      </c>
      <c r="E158" t="s">
        <v>21</v>
      </c>
      <c r="F158" s="116">
        <v>75</v>
      </c>
      <c r="G158" s="116" t="s">
        <v>310</v>
      </c>
      <c r="H158" s="141">
        <v>18.75</v>
      </c>
    </row>
    <row r="159" spans="1:8" x14ac:dyDescent="0.2">
      <c r="A159" s="137">
        <v>45646</v>
      </c>
      <c r="B159" s="66" t="s">
        <v>81</v>
      </c>
      <c r="C159" t="s">
        <v>208</v>
      </c>
      <c r="D159" t="s">
        <v>492</v>
      </c>
      <c r="E159" t="s">
        <v>13</v>
      </c>
      <c r="F159" s="116">
        <v>8</v>
      </c>
      <c r="G159" s="116" t="s">
        <v>310</v>
      </c>
      <c r="H159" s="141">
        <v>2.2000000000000002</v>
      </c>
    </row>
    <row r="160" spans="1:8" x14ac:dyDescent="0.2">
      <c r="A160" s="137">
        <v>45646</v>
      </c>
      <c r="B160" s="66" t="s">
        <v>81</v>
      </c>
      <c r="C160" t="s">
        <v>208</v>
      </c>
      <c r="D160" t="s">
        <v>326</v>
      </c>
      <c r="E160" t="s">
        <v>16</v>
      </c>
      <c r="F160" s="116">
        <v>1</v>
      </c>
      <c r="G160" s="116" t="s">
        <v>308</v>
      </c>
      <c r="H160" s="141">
        <v>0.55000000000000004</v>
      </c>
    </row>
    <row r="161" spans="1:8" x14ac:dyDescent="0.2">
      <c r="A161" s="137">
        <v>45646</v>
      </c>
      <c r="B161" s="66" t="s">
        <v>81</v>
      </c>
      <c r="C161" t="s">
        <v>208</v>
      </c>
      <c r="D161" t="s">
        <v>493</v>
      </c>
      <c r="E161" t="s">
        <v>16</v>
      </c>
      <c r="F161" s="116">
        <v>14</v>
      </c>
      <c r="G161" s="116" t="s">
        <v>308</v>
      </c>
      <c r="H161" s="141">
        <v>15.1</v>
      </c>
    </row>
    <row r="162" spans="1:8" x14ac:dyDescent="0.2">
      <c r="A162" s="137">
        <v>45646</v>
      </c>
      <c r="B162" s="66" t="s">
        <v>81</v>
      </c>
      <c r="C162" t="s">
        <v>208</v>
      </c>
      <c r="D162" t="s">
        <v>494</v>
      </c>
      <c r="E162" t="s">
        <v>16</v>
      </c>
      <c r="F162" s="116">
        <v>2</v>
      </c>
      <c r="G162" s="116" t="s">
        <v>308</v>
      </c>
      <c r="H162" s="141">
        <v>1.1000000000000001</v>
      </c>
    </row>
    <row r="163" spans="1:8" x14ac:dyDescent="0.2">
      <c r="A163" s="137">
        <v>45646</v>
      </c>
      <c r="B163" s="66" t="s">
        <v>81</v>
      </c>
      <c r="C163" t="s">
        <v>208</v>
      </c>
      <c r="D163" t="s">
        <v>495</v>
      </c>
      <c r="E163" t="s">
        <v>15</v>
      </c>
      <c r="F163" s="116">
        <v>2</v>
      </c>
      <c r="G163" s="116" t="s">
        <v>313</v>
      </c>
      <c r="H163" s="141">
        <v>0.35</v>
      </c>
    </row>
    <row r="164" spans="1:8" x14ac:dyDescent="0.2">
      <c r="A164" s="137">
        <v>45646</v>
      </c>
      <c r="B164" s="66" t="s">
        <v>81</v>
      </c>
      <c r="C164" t="s">
        <v>208</v>
      </c>
      <c r="D164" t="s">
        <v>496</v>
      </c>
      <c r="E164" t="s">
        <v>23</v>
      </c>
      <c r="F164" s="116">
        <v>35</v>
      </c>
      <c r="G164" s="116" t="s">
        <v>310</v>
      </c>
      <c r="H164" s="141">
        <v>1.05</v>
      </c>
    </row>
    <row r="165" spans="1:8" x14ac:dyDescent="0.2">
      <c r="A165" s="137">
        <v>45646</v>
      </c>
      <c r="B165" s="66" t="s">
        <v>81</v>
      </c>
      <c r="C165" t="s">
        <v>208</v>
      </c>
      <c r="D165" t="s">
        <v>497</v>
      </c>
      <c r="E165" t="s">
        <v>21</v>
      </c>
      <c r="F165" s="116">
        <v>26</v>
      </c>
      <c r="G165" s="116" t="s">
        <v>310</v>
      </c>
      <c r="H165" s="141">
        <v>6.7</v>
      </c>
    </row>
    <row r="166" spans="1:8" x14ac:dyDescent="0.2">
      <c r="A166" s="137">
        <v>45646</v>
      </c>
      <c r="B166" s="66" t="s">
        <v>81</v>
      </c>
      <c r="C166" t="s">
        <v>208</v>
      </c>
      <c r="D166" t="s">
        <v>498</v>
      </c>
      <c r="E166" t="s">
        <v>23</v>
      </c>
      <c r="F166" s="116">
        <v>1</v>
      </c>
      <c r="G166" s="116" t="s">
        <v>310</v>
      </c>
      <c r="H166" s="141">
        <v>0.05</v>
      </c>
    </row>
    <row r="167" spans="1:8" x14ac:dyDescent="0.2">
      <c r="A167" s="137">
        <v>45645</v>
      </c>
      <c r="B167" s="66" t="s">
        <v>81</v>
      </c>
      <c r="C167" t="s">
        <v>229</v>
      </c>
      <c r="D167" t="s">
        <v>540</v>
      </c>
      <c r="E167" t="s">
        <v>13</v>
      </c>
      <c r="F167" s="116">
        <v>134</v>
      </c>
      <c r="G167" s="116" t="s">
        <v>308</v>
      </c>
      <c r="H167" s="141">
        <v>2010</v>
      </c>
    </row>
    <row r="168" spans="1:8" x14ac:dyDescent="0.2">
      <c r="A168" s="66">
        <v>45632</v>
      </c>
      <c r="B168" s="66" t="s">
        <v>81</v>
      </c>
      <c r="C168" t="s">
        <v>229</v>
      </c>
      <c r="D168" t="s">
        <v>332</v>
      </c>
      <c r="E168" t="s">
        <v>20</v>
      </c>
      <c r="F168" s="116">
        <v>1</v>
      </c>
      <c r="G168" s="116" t="s">
        <v>310</v>
      </c>
      <c r="H168" s="141">
        <v>0.1</v>
      </c>
    </row>
    <row r="169" spans="1:8" x14ac:dyDescent="0.2">
      <c r="A169" s="66">
        <v>45632</v>
      </c>
      <c r="B169" s="66" t="s">
        <v>81</v>
      </c>
      <c r="C169" t="s">
        <v>229</v>
      </c>
      <c r="D169" t="s">
        <v>582</v>
      </c>
      <c r="E169" t="s">
        <v>15</v>
      </c>
      <c r="F169" s="116">
        <v>1</v>
      </c>
      <c r="G169" s="116" t="s">
        <v>312</v>
      </c>
      <c r="H169" s="141">
        <v>0.8</v>
      </c>
    </row>
    <row r="170" spans="1:8" x14ac:dyDescent="0.2">
      <c r="A170" s="66">
        <v>45632</v>
      </c>
      <c r="B170" s="66" t="s">
        <v>81</v>
      </c>
      <c r="C170" t="s">
        <v>229</v>
      </c>
      <c r="D170" t="s">
        <v>453</v>
      </c>
      <c r="E170" t="s">
        <v>20</v>
      </c>
      <c r="F170" s="116">
        <v>1</v>
      </c>
      <c r="G170" s="116" t="s">
        <v>313</v>
      </c>
      <c r="H170" s="141">
        <v>0.1</v>
      </c>
    </row>
    <row r="171" spans="1:8" x14ac:dyDescent="0.2">
      <c r="A171" s="66">
        <v>45632</v>
      </c>
      <c r="B171" s="66" t="s">
        <v>81</v>
      </c>
      <c r="C171" t="s">
        <v>229</v>
      </c>
      <c r="D171" t="s">
        <v>334</v>
      </c>
      <c r="E171" t="s">
        <v>20</v>
      </c>
      <c r="F171" s="116">
        <v>3</v>
      </c>
      <c r="G171" s="116" t="s">
        <v>313</v>
      </c>
      <c r="H171" s="141">
        <v>0.3</v>
      </c>
    </row>
    <row r="172" spans="1:8" x14ac:dyDescent="0.2">
      <c r="A172" s="66">
        <v>45632</v>
      </c>
      <c r="B172" s="66" t="s">
        <v>81</v>
      </c>
      <c r="C172" t="s">
        <v>229</v>
      </c>
      <c r="D172" t="s">
        <v>583</v>
      </c>
      <c r="E172" t="s">
        <v>23</v>
      </c>
      <c r="F172" s="116">
        <v>5</v>
      </c>
      <c r="G172" s="116" t="s">
        <v>308</v>
      </c>
      <c r="H172" s="141">
        <v>1.1499999999999999</v>
      </c>
    </row>
    <row r="173" spans="1:8" x14ac:dyDescent="0.2">
      <c r="A173" s="66">
        <v>45632</v>
      </c>
      <c r="B173" s="66" t="s">
        <v>81</v>
      </c>
      <c r="C173" t="s">
        <v>229</v>
      </c>
      <c r="D173" t="s">
        <v>584</v>
      </c>
      <c r="E173" t="s">
        <v>23</v>
      </c>
      <c r="F173" s="116">
        <v>1</v>
      </c>
      <c r="G173" s="116" t="s">
        <v>310</v>
      </c>
      <c r="H173" s="141">
        <v>0.4</v>
      </c>
    </row>
    <row r="174" spans="1:8" x14ac:dyDescent="0.2">
      <c r="A174" s="66">
        <v>45632</v>
      </c>
      <c r="B174" s="66" t="s">
        <v>81</v>
      </c>
      <c r="C174" t="s">
        <v>229</v>
      </c>
      <c r="D174" t="s">
        <v>578</v>
      </c>
      <c r="E174" t="s">
        <v>20</v>
      </c>
      <c r="F174" s="116">
        <v>5</v>
      </c>
      <c r="G174" s="116" t="s">
        <v>313</v>
      </c>
      <c r="H174" s="141">
        <v>0.25</v>
      </c>
    </row>
    <row r="175" spans="1:8" x14ac:dyDescent="0.2">
      <c r="A175" s="66">
        <v>45632</v>
      </c>
      <c r="B175" s="66" t="s">
        <v>81</v>
      </c>
      <c r="C175" t="s">
        <v>229</v>
      </c>
      <c r="D175" t="s">
        <v>585</v>
      </c>
      <c r="E175" t="s">
        <v>149</v>
      </c>
      <c r="F175" s="116">
        <v>2</v>
      </c>
      <c r="G175" s="116" t="s">
        <v>313</v>
      </c>
      <c r="H175" s="141">
        <v>1.4</v>
      </c>
    </row>
    <row r="176" spans="1:8" x14ac:dyDescent="0.2">
      <c r="A176" s="66">
        <v>45632</v>
      </c>
      <c r="B176" s="66" t="s">
        <v>81</v>
      </c>
      <c r="C176" t="s">
        <v>229</v>
      </c>
      <c r="D176" t="s">
        <v>586</v>
      </c>
      <c r="E176" t="s">
        <v>149</v>
      </c>
      <c r="F176" s="116">
        <v>2</v>
      </c>
      <c r="G176" s="116" t="s">
        <v>313</v>
      </c>
      <c r="H176" s="141">
        <v>2.0499999999999998</v>
      </c>
    </row>
    <row r="177" spans="1:8" x14ac:dyDescent="0.2">
      <c r="A177" s="137">
        <v>45645</v>
      </c>
      <c r="B177" s="66" t="s">
        <v>81</v>
      </c>
      <c r="C177" t="s">
        <v>275</v>
      </c>
      <c r="D177" t="s">
        <v>447</v>
      </c>
      <c r="E177" t="s">
        <v>13</v>
      </c>
      <c r="F177" s="116">
        <v>8</v>
      </c>
      <c r="G177" s="116" t="s">
        <v>308</v>
      </c>
      <c r="H177" s="141">
        <v>120</v>
      </c>
    </row>
    <row r="178" spans="1:8" x14ac:dyDescent="0.2">
      <c r="A178" s="137">
        <v>45646</v>
      </c>
      <c r="B178" s="66" t="s">
        <v>81</v>
      </c>
      <c r="C178" t="s">
        <v>315</v>
      </c>
      <c r="D178" t="s">
        <v>448</v>
      </c>
      <c r="E178" t="s">
        <v>15</v>
      </c>
      <c r="F178" s="116">
        <v>16</v>
      </c>
      <c r="G178" s="116" t="s">
        <v>313</v>
      </c>
      <c r="H178" s="141">
        <v>6</v>
      </c>
    </row>
    <row r="179" spans="1:8" x14ac:dyDescent="0.2">
      <c r="A179" s="137">
        <v>45646</v>
      </c>
      <c r="B179" s="66" t="s">
        <v>81</v>
      </c>
      <c r="C179" t="s">
        <v>315</v>
      </c>
      <c r="D179" t="s">
        <v>449</v>
      </c>
      <c r="E179" t="s">
        <v>15</v>
      </c>
      <c r="F179" s="116">
        <v>10</v>
      </c>
      <c r="G179" s="116" t="s">
        <v>313</v>
      </c>
      <c r="H179" s="141">
        <v>3</v>
      </c>
    </row>
    <row r="180" spans="1:8" x14ac:dyDescent="0.2">
      <c r="A180" s="137">
        <v>45646</v>
      </c>
      <c r="B180" s="66" t="s">
        <v>81</v>
      </c>
      <c r="C180" t="s">
        <v>315</v>
      </c>
      <c r="D180" t="s">
        <v>450</v>
      </c>
      <c r="E180" t="s">
        <v>20</v>
      </c>
      <c r="F180" s="116">
        <v>155</v>
      </c>
      <c r="G180" s="116" t="s">
        <v>313</v>
      </c>
      <c r="H180" s="141">
        <v>6.4</v>
      </c>
    </row>
    <row r="181" spans="1:8" x14ac:dyDescent="0.2">
      <c r="A181" s="137">
        <v>45646</v>
      </c>
      <c r="B181" s="66" t="s">
        <v>81</v>
      </c>
      <c r="C181" t="s">
        <v>315</v>
      </c>
      <c r="D181" t="s">
        <v>334</v>
      </c>
      <c r="E181" t="s">
        <v>20</v>
      </c>
      <c r="F181" s="116">
        <v>131</v>
      </c>
      <c r="G181" s="116" t="s">
        <v>313</v>
      </c>
      <c r="H181" s="141">
        <v>4.5</v>
      </c>
    </row>
    <row r="182" spans="1:8" x14ac:dyDescent="0.2">
      <c r="A182" s="137">
        <v>45645</v>
      </c>
      <c r="B182" s="66" t="s">
        <v>81</v>
      </c>
      <c r="C182" s="101" t="s">
        <v>635</v>
      </c>
      <c r="D182" t="s">
        <v>447</v>
      </c>
      <c r="E182" t="s">
        <v>13</v>
      </c>
      <c r="F182" s="116">
        <v>16</v>
      </c>
      <c r="G182" s="116" t="s">
        <v>308</v>
      </c>
      <c r="H182" s="141">
        <v>240</v>
      </c>
    </row>
    <row r="183" spans="1:8" x14ac:dyDescent="0.2">
      <c r="A183" s="137">
        <v>45645</v>
      </c>
      <c r="B183" s="66" t="s">
        <v>81</v>
      </c>
      <c r="C183" t="s">
        <v>289</v>
      </c>
      <c r="D183" t="s">
        <v>447</v>
      </c>
      <c r="E183" t="s">
        <v>13</v>
      </c>
      <c r="F183" s="116">
        <v>8</v>
      </c>
      <c r="G183" s="116" t="s">
        <v>308</v>
      </c>
      <c r="H183" s="141">
        <v>120</v>
      </c>
    </row>
    <row r="184" spans="1:8" x14ac:dyDescent="0.2">
      <c r="A184" s="137">
        <v>45645</v>
      </c>
      <c r="B184" s="66" t="s">
        <v>81</v>
      </c>
      <c r="C184" t="s">
        <v>246</v>
      </c>
      <c r="D184" t="s">
        <v>533</v>
      </c>
      <c r="E184" t="s">
        <v>20</v>
      </c>
      <c r="F184" s="116">
        <v>30</v>
      </c>
      <c r="G184" s="116" t="s">
        <v>313</v>
      </c>
      <c r="H184" s="141">
        <v>9</v>
      </c>
    </row>
    <row r="185" spans="1:8" x14ac:dyDescent="0.2">
      <c r="A185" s="137">
        <v>45645</v>
      </c>
      <c r="B185" s="66" t="s">
        <v>81</v>
      </c>
      <c r="C185" t="s">
        <v>246</v>
      </c>
      <c r="D185" t="s">
        <v>534</v>
      </c>
      <c r="E185" t="s">
        <v>20</v>
      </c>
      <c r="F185" s="116">
        <v>36</v>
      </c>
      <c r="G185" s="116" t="s">
        <v>313</v>
      </c>
      <c r="H185" s="141">
        <v>2.65</v>
      </c>
    </row>
    <row r="186" spans="1:8" x14ac:dyDescent="0.2">
      <c r="A186" s="137">
        <v>45645</v>
      </c>
      <c r="B186" s="66" t="s">
        <v>81</v>
      </c>
      <c r="C186" t="s">
        <v>246</v>
      </c>
      <c r="D186" t="s">
        <v>447</v>
      </c>
      <c r="E186" t="s">
        <v>13</v>
      </c>
      <c r="F186" s="116">
        <v>8</v>
      </c>
      <c r="G186" s="116" t="s">
        <v>308</v>
      </c>
      <c r="H186" s="141">
        <v>120</v>
      </c>
    </row>
    <row r="187" spans="1:8" x14ac:dyDescent="0.2">
      <c r="A187" s="137">
        <v>45645</v>
      </c>
      <c r="B187" s="66" t="s">
        <v>81</v>
      </c>
      <c r="C187" t="s">
        <v>314</v>
      </c>
      <c r="D187" t="s">
        <v>447</v>
      </c>
      <c r="E187" t="s">
        <v>13</v>
      </c>
      <c r="F187" s="116">
        <v>8</v>
      </c>
      <c r="G187" s="116" t="s">
        <v>308</v>
      </c>
      <c r="H187" s="141">
        <v>120</v>
      </c>
    </row>
    <row r="188" spans="1:8" x14ac:dyDescent="0.2">
      <c r="A188" s="137">
        <v>45645</v>
      </c>
      <c r="B188" s="66" t="s">
        <v>81</v>
      </c>
      <c r="C188" t="s">
        <v>294</v>
      </c>
      <c r="D188" t="s">
        <v>447</v>
      </c>
      <c r="E188" t="s">
        <v>13</v>
      </c>
      <c r="F188" s="116">
        <v>8</v>
      </c>
      <c r="G188" s="116" t="s">
        <v>308</v>
      </c>
      <c r="H188" s="141">
        <v>120</v>
      </c>
    </row>
    <row r="189" spans="1:8" x14ac:dyDescent="0.2">
      <c r="A189" s="137">
        <v>45645</v>
      </c>
      <c r="B189" s="66" t="s">
        <v>81</v>
      </c>
      <c r="C189" t="s">
        <v>253</v>
      </c>
      <c r="D189" t="s">
        <v>447</v>
      </c>
      <c r="E189" t="s">
        <v>13</v>
      </c>
      <c r="F189" s="116">
        <v>8</v>
      </c>
      <c r="G189" s="116" t="s">
        <v>308</v>
      </c>
      <c r="H189" s="141">
        <v>120</v>
      </c>
    </row>
    <row r="190" spans="1:8" x14ac:dyDescent="0.2">
      <c r="A190" s="137">
        <v>45645</v>
      </c>
      <c r="B190" s="66" t="s">
        <v>81</v>
      </c>
      <c r="C190" s="101" t="s">
        <v>636</v>
      </c>
      <c r="D190" t="s">
        <v>532</v>
      </c>
      <c r="E190" t="s">
        <v>20</v>
      </c>
      <c r="F190" s="116">
        <v>36</v>
      </c>
      <c r="G190" s="116" t="s">
        <v>313</v>
      </c>
      <c r="H190" s="141">
        <v>1.45</v>
      </c>
    </row>
    <row r="191" spans="1:8" x14ac:dyDescent="0.2">
      <c r="A191" s="137">
        <v>45645</v>
      </c>
      <c r="B191" s="66" t="s">
        <v>81</v>
      </c>
      <c r="C191" s="101" t="s">
        <v>636</v>
      </c>
      <c r="D191" t="s">
        <v>447</v>
      </c>
      <c r="E191" t="s">
        <v>13</v>
      </c>
      <c r="F191" s="116">
        <v>10</v>
      </c>
      <c r="G191" s="116" t="s">
        <v>308</v>
      </c>
      <c r="H191" s="141">
        <v>160</v>
      </c>
    </row>
    <row r="192" spans="1:8" x14ac:dyDescent="0.2">
      <c r="B192" s="55"/>
      <c r="C192" s="51"/>
      <c r="D192" s="49"/>
      <c r="E192" s="49"/>
      <c r="F192" s="134"/>
      <c r="G192" s="134"/>
      <c r="H192" s="142"/>
    </row>
    <row r="193" spans="1:8" x14ac:dyDescent="0.2">
      <c r="B193" s="55"/>
      <c r="C193" s="49"/>
      <c r="D193" s="49"/>
      <c r="E193" s="49"/>
      <c r="F193" s="134"/>
      <c r="G193" s="134"/>
      <c r="H193" s="142"/>
    </row>
    <row r="194" spans="1:8" x14ac:dyDescent="0.2">
      <c r="B194" s="55"/>
      <c r="C194" s="49"/>
      <c r="D194" s="49"/>
      <c r="E194" s="51"/>
      <c r="F194" s="134"/>
      <c r="G194" s="134"/>
      <c r="H194" s="142"/>
    </row>
    <row r="195" spans="1:8" x14ac:dyDescent="0.2">
      <c r="B195" s="55"/>
      <c r="C195" s="49"/>
      <c r="D195" s="49"/>
      <c r="E195" s="49"/>
      <c r="F195" s="134"/>
      <c r="G195" s="134"/>
      <c r="H195" s="142"/>
    </row>
    <row r="196" spans="1:8" x14ac:dyDescent="0.2">
      <c r="B196" s="55"/>
      <c r="C196" s="49"/>
      <c r="D196" s="49"/>
      <c r="E196" s="49"/>
      <c r="F196" s="134"/>
      <c r="G196" s="134"/>
      <c r="H196" s="142"/>
    </row>
    <row r="197" spans="1:8" x14ac:dyDescent="0.2">
      <c r="B197" s="55"/>
      <c r="C197" s="51"/>
      <c r="D197" s="49"/>
      <c r="E197" s="49"/>
      <c r="F197" s="134"/>
      <c r="G197" s="134"/>
      <c r="H197" s="142"/>
    </row>
    <row r="198" spans="1:8" x14ac:dyDescent="0.2">
      <c r="B198" s="55"/>
      <c r="C198" s="51"/>
      <c r="D198" s="49"/>
      <c r="E198" s="49"/>
      <c r="F198" s="134"/>
      <c r="G198" s="134"/>
      <c r="H198" s="142"/>
    </row>
    <row r="199" spans="1:8" x14ac:dyDescent="0.2">
      <c r="B199" s="55"/>
      <c r="C199" s="51"/>
      <c r="D199" s="49"/>
      <c r="E199" s="49"/>
      <c r="F199" s="134"/>
      <c r="G199" s="134"/>
      <c r="H199" s="142"/>
    </row>
    <row r="200" spans="1:8" x14ac:dyDescent="0.2">
      <c r="B200" s="55"/>
      <c r="C200" s="51"/>
      <c r="D200" s="49"/>
      <c r="E200" s="49"/>
      <c r="F200" s="134"/>
      <c r="G200" s="134"/>
      <c r="H200" s="142"/>
    </row>
    <row r="201" spans="1:8" x14ac:dyDescent="0.2">
      <c r="A201" s="138"/>
      <c r="B201" s="55"/>
      <c r="C201" s="51"/>
      <c r="D201" s="49"/>
      <c r="E201" s="49"/>
      <c r="F201" s="134"/>
      <c r="G201" s="134"/>
      <c r="H201" s="142"/>
    </row>
    <row r="202" spans="1:8" x14ac:dyDescent="0.2">
      <c r="A202" s="138"/>
      <c r="B202" s="55"/>
      <c r="C202" s="51"/>
      <c r="D202" s="49"/>
      <c r="E202" s="49"/>
      <c r="F202" s="134"/>
      <c r="G202" s="134"/>
      <c r="H202" s="142"/>
    </row>
    <row r="203" spans="1:8" x14ac:dyDescent="0.2">
      <c r="A203" s="138"/>
      <c r="B203" s="55"/>
      <c r="C203" s="51"/>
      <c r="D203" s="49"/>
      <c r="E203" s="49"/>
      <c r="F203" s="134"/>
      <c r="G203" s="134"/>
      <c r="H203" s="142"/>
    </row>
    <row r="204" spans="1:8" x14ac:dyDescent="0.2">
      <c r="B204" s="55"/>
      <c r="C204" s="51"/>
      <c r="D204" s="49"/>
      <c r="E204" s="49"/>
      <c r="F204" s="134"/>
      <c r="G204" s="135"/>
      <c r="H204" s="142"/>
    </row>
    <row r="205" spans="1:8" x14ac:dyDescent="0.2">
      <c r="B205" s="55"/>
      <c r="C205" s="51"/>
      <c r="D205" s="49"/>
      <c r="E205" s="49"/>
      <c r="F205" s="134"/>
      <c r="G205" s="134"/>
      <c r="H205" s="142"/>
    </row>
    <row r="206" spans="1:8" x14ac:dyDescent="0.2">
      <c r="B206" s="55"/>
      <c r="C206" s="51"/>
      <c r="D206" s="49"/>
      <c r="E206" s="49"/>
      <c r="F206" s="134"/>
      <c r="G206" s="134"/>
      <c r="H206" s="142"/>
    </row>
    <row r="207" spans="1:8" x14ac:dyDescent="0.2">
      <c r="B207" s="55"/>
      <c r="C207" s="51"/>
      <c r="D207" s="49"/>
      <c r="E207" s="49"/>
      <c r="F207" s="134"/>
      <c r="G207" s="134"/>
      <c r="H207" s="142"/>
    </row>
    <row r="208" spans="1:8" x14ac:dyDescent="0.2">
      <c r="B208" s="55"/>
      <c r="C208" s="51"/>
      <c r="D208" s="49"/>
      <c r="E208" s="49"/>
      <c r="F208" s="134"/>
      <c r="G208" s="134"/>
      <c r="H208" s="142"/>
    </row>
    <row r="209" spans="1:8" x14ac:dyDescent="0.2">
      <c r="B209" s="55"/>
      <c r="C209" s="51"/>
      <c r="D209" s="49"/>
      <c r="E209" s="49"/>
      <c r="F209" s="134"/>
      <c r="G209" s="134"/>
      <c r="H209" s="142"/>
    </row>
    <row r="210" spans="1:8" x14ac:dyDescent="0.2">
      <c r="B210" s="55"/>
      <c r="C210" s="51"/>
      <c r="D210" s="49"/>
      <c r="E210" s="49"/>
      <c r="F210" s="134"/>
      <c r="G210" s="134"/>
      <c r="H210" s="142"/>
    </row>
    <row r="211" spans="1:8" x14ac:dyDescent="0.2">
      <c r="B211" s="55"/>
      <c r="C211" s="51"/>
      <c r="D211" s="49"/>
      <c r="E211" s="49"/>
      <c r="F211" s="134"/>
      <c r="G211" s="134"/>
      <c r="H211" s="142"/>
    </row>
    <row r="212" spans="1:8" x14ac:dyDescent="0.2">
      <c r="B212" s="55"/>
      <c r="C212" s="51"/>
      <c r="D212" s="49"/>
      <c r="E212" s="49"/>
      <c r="F212" s="134"/>
      <c r="G212" s="134"/>
      <c r="H212" s="142"/>
    </row>
    <row r="213" spans="1:8" x14ac:dyDescent="0.2">
      <c r="B213" s="55"/>
      <c r="C213" s="51"/>
      <c r="D213" s="49"/>
      <c r="E213" s="49"/>
      <c r="F213" s="134"/>
      <c r="G213" s="134"/>
      <c r="H213" s="142"/>
    </row>
    <row r="214" spans="1:8" x14ac:dyDescent="0.2">
      <c r="B214" s="55"/>
      <c r="C214" s="51"/>
      <c r="D214" s="49"/>
      <c r="E214" s="49"/>
      <c r="F214" s="134"/>
      <c r="G214" s="134"/>
      <c r="H214" s="142"/>
    </row>
    <row r="215" spans="1:8" x14ac:dyDescent="0.2">
      <c r="B215" s="55"/>
      <c r="C215" s="51"/>
      <c r="D215" s="49"/>
      <c r="E215" s="49"/>
      <c r="F215" s="134"/>
      <c r="G215" s="134"/>
      <c r="H215" s="142"/>
    </row>
    <row r="216" spans="1:8" x14ac:dyDescent="0.2">
      <c r="B216" s="55"/>
      <c r="C216" s="51"/>
      <c r="D216" s="49"/>
      <c r="E216" s="49"/>
      <c r="F216" s="134"/>
      <c r="G216" s="134"/>
      <c r="H216" s="142"/>
    </row>
    <row r="217" spans="1:8" x14ac:dyDescent="0.2">
      <c r="A217" s="138"/>
      <c r="B217" s="55"/>
      <c r="C217" s="51"/>
      <c r="D217" s="49"/>
      <c r="E217" s="49"/>
      <c r="F217" s="134"/>
      <c r="G217" s="134"/>
      <c r="H217" s="142"/>
    </row>
    <row r="218" spans="1:8" x14ac:dyDescent="0.2">
      <c r="A218" s="138"/>
      <c r="B218" s="55"/>
      <c r="C218" s="51"/>
      <c r="D218" s="49"/>
      <c r="E218" s="49"/>
      <c r="F218" s="134"/>
      <c r="G218" s="134"/>
      <c r="H218" s="142"/>
    </row>
    <row r="219" spans="1:8" x14ac:dyDescent="0.2">
      <c r="A219" s="138"/>
      <c r="B219" s="55"/>
      <c r="C219" s="51"/>
      <c r="D219" s="49"/>
      <c r="E219" s="49"/>
      <c r="F219" s="134"/>
      <c r="G219" s="134"/>
      <c r="H219" s="142"/>
    </row>
    <row r="220" spans="1:8" x14ac:dyDescent="0.2">
      <c r="A220" s="138"/>
      <c r="B220" s="55"/>
      <c r="C220" s="51"/>
      <c r="D220" s="49"/>
      <c r="E220" s="49"/>
      <c r="F220" s="134"/>
      <c r="G220" s="134"/>
      <c r="H220" s="142"/>
    </row>
    <row r="221" spans="1:8" x14ac:dyDescent="0.2">
      <c r="A221" s="138"/>
      <c r="B221" s="55"/>
      <c r="C221" s="51"/>
      <c r="D221" s="49"/>
      <c r="E221" s="49"/>
      <c r="F221" s="134"/>
      <c r="G221" s="134"/>
      <c r="H221" s="142"/>
    </row>
    <row r="222" spans="1:8" x14ac:dyDescent="0.2">
      <c r="A222" s="138"/>
      <c r="B222" s="55"/>
      <c r="C222" s="51"/>
      <c r="D222" s="49"/>
      <c r="E222" s="49"/>
      <c r="F222" s="134"/>
      <c r="G222" s="134"/>
      <c r="H222" s="142"/>
    </row>
    <row r="223" spans="1:8" x14ac:dyDescent="0.2">
      <c r="A223" s="138"/>
      <c r="B223" s="55"/>
      <c r="C223" s="51"/>
      <c r="D223" s="49"/>
      <c r="E223" s="49"/>
      <c r="F223" s="134"/>
      <c r="G223" s="134"/>
      <c r="H223" s="142"/>
    </row>
    <row r="224" spans="1:8" x14ac:dyDescent="0.2">
      <c r="B224" s="55"/>
      <c r="C224" s="51"/>
      <c r="D224" s="49"/>
      <c r="E224" s="49"/>
      <c r="F224" s="135"/>
      <c r="G224" s="135"/>
      <c r="H224" s="143"/>
    </row>
    <row r="225" spans="1:8" x14ac:dyDescent="0.2">
      <c r="B225" s="55"/>
      <c r="C225" s="51"/>
      <c r="D225" s="49"/>
      <c r="E225" s="49"/>
      <c r="F225" s="135"/>
      <c r="G225" s="135"/>
      <c r="H225" s="143"/>
    </row>
    <row r="226" spans="1:8" x14ac:dyDescent="0.2">
      <c r="B226" s="55"/>
      <c r="C226" s="51"/>
      <c r="D226" s="49"/>
      <c r="E226" s="49"/>
      <c r="F226" s="135"/>
      <c r="G226" s="135"/>
      <c r="H226" s="143"/>
    </row>
    <row r="227" spans="1:8" x14ac:dyDescent="0.2">
      <c r="B227" s="55"/>
      <c r="C227" s="51"/>
      <c r="D227" s="49"/>
      <c r="E227" s="49"/>
      <c r="F227" s="135"/>
      <c r="G227" s="135"/>
      <c r="H227" s="143"/>
    </row>
    <row r="228" spans="1:8" x14ac:dyDescent="0.2">
      <c r="B228" s="55"/>
      <c r="C228" s="51"/>
      <c r="D228" s="49"/>
      <c r="E228" s="49"/>
      <c r="F228" s="134"/>
      <c r="G228" s="134"/>
      <c r="H228" s="142"/>
    </row>
    <row r="229" spans="1:8" x14ac:dyDescent="0.2">
      <c r="B229" s="55"/>
      <c r="C229" s="51"/>
      <c r="D229" s="49"/>
      <c r="E229" s="49"/>
      <c r="F229" s="134"/>
      <c r="G229" s="134"/>
      <c r="H229" s="142"/>
    </row>
    <row r="230" spans="1:8" x14ac:dyDescent="0.2">
      <c r="B230" s="55"/>
      <c r="C230" s="51"/>
      <c r="D230" s="49"/>
      <c r="E230" s="49"/>
      <c r="F230" s="134"/>
      <c r="G230" s="134"/>
      <c r="H230" s="142"/>
    </row>
    <row r="231" spans="1:8" x14ac:dyDescent="0.2">
      <c r="B231" s="55"/>
      <c r="C231" s="49"/>
      <c r="D231" s="49"/>
      <c r="E231" s="49"/>
      <c r="F231" s="134"/>
      <c r="G231" s="134"/>
      <c r="H231" s="142"/>
    </row>
    <row r="232" spans="1:8" x14ac:dyDescent="0.2">
      <c r="B232" s="55"/>
      <c r="C232" s="49"/>
      <c r="D232" s="49"/>
      <c r="E232" s="49"/>
      <c r="F232" s="134"/>
      <c r="G232" s="134"/>
      <c r="H232" s="142"/>
    </row>
    <row r="233" spans="1:8" x14ac:dyDescent="0.2">
      <c r="B233" s="55"/>
      <c r="C233" s="49"/>
      <c r="D233" s="49"/>
      <c r="E233" s="49"/>
      <c r="F233" s="134"/>
      <c r="G233" s="134"/>
      <c r="H233" s="142"/>
    </row>
    <row r="234" spans="1:8" x14ac:dyDescent="0.2">
      <c r="A234" s="138"/>
      <c r="B234" s="55"/>
      <c r="C234" s="51"/>
      <c r="D234" s="49"/>
      <c r="E234" s="49"/>
      <c r="F234" s="135"/>
      <c r="G234" s="134"/>
      <c r="H234" s="143"/>
    </row>
    <row r="235" spans="1:8" x14ac:dyDescent="0.2">
      <c r="A235" s="138"/>
      <c r="B235" s="55"/>
      <c r="C235" s="51"/>
      <c r="D235" s="49"/>
      <c r="E235" s="49"/>
      <c r="F235" s="135"/>
      <c r="G235" s="134"/>
      <c r="H235" s="143"/>
    </row>
    <row r="236" spans="1:8" x14ac:dyDescent="0.2">
      <c r="A236" s="138"/>
      <c r="B236" s="55"/>
      <c r="C236" s="51"/>
      <c r="D236" s="49"/>
      <c r="E236" s="49"/>
      <c r="F236" s="135"/>
      <c r="G236" s="134"/>
      <c r="H236" s="143"/>
    </row>
    <row r="237" spans="1:8" x14ac:dyDescent="0.2">
      <c r="A237" s="138"/>
      <c r="B237" s="55"/>
      <c r="C237" s="51"/>
      <c r="D237" s="49"/>
      <c r="E237" s="49"/>
      <c r="F237" s="135"/>
      <c r="G237" s="134"/>
      <c r="H237" s="143"/>
    </row>
    <row r="238" spans="1:8" x14ac:dyDescent="0.2">
      <c r="A238" s="138"/>
      <c r="B238" s="55"/>
      <c r="C238" s="51"/>
      <c r="D238" s="49"/>
      <c r="E238" s="49"/>
      <c r="F238" s="135"/>
      <c r="G238" s="134"/>
      <c r="H238" s="143"/>
    </row>
    <row r="239" spans="1:8" x14ac:dyDescent="0.2">
      <c r="A239" s="138"/>
      <c r="B239" s="55"/>
      <c r="C239" s="51"/>
      <c r="D239" s="49"/>
      <c r="E239" s="49"/>
      <c r="F239" s="135"/>
      <c r="G239" s="134"/>
      <c r="H239" s="143"/>
    </row>
    <row r="240" spans="1:8" x14ac:dyDescent="0.2">
      <c r="A240" s="138"/>
      <c r="B240" s="55"/>
      <c r="C240" s="51"/>
      <c r="D240" s="49"/>
      <c r="E240" s="49"/>
      <c r="F240" s="135"/>
      <c r="G240" s="134"/>
      <c r="H240" s="143"/>
    </row>
    <row r="241" spans="1:8" x14ac:dyDescent="0.2">
      <c r="A241" s="138"/>
      <c r="B241" s="55"/>
      <c r="C241" s="51"/>
      <c r="D241" s="49"/>
      <c r="E241" s="49"/>
      <c r="F241" s="135"/>
      <c r="G241" s="134"/>
      <c r="H241" s="142"/>
    </row>
    <row r="242" spans="1:8" x14ac:dyDescent="0.2">
      <c r="A242" s="138"/>
      <c r="B242" s="55"/>
      <c r="C242" s="51"/>
      <c r="D242" s="49"/>
      <c r="E242" s="49"/>
      <c r="F242" s="134"/>
      <c r="G242" s="134"/>
      <c r="H242" s="142"/>
    </row>
    <row r="243" spans="1:8" x14ac:dyDescent="0.2">
      <c r="A243" s="138"/>
      <c r="B243" s="55"/>
      <c r="C243" s="51"/>
      <c r="D243" s="49"/>
      <c r="E243" s="49"/>
      <c r="F243" s="134"/>
      <c r="G243" s="134"/>
      <c r="H243" s="142"/>
    </row>
    <row r="244" spans="1:8" x14ac:dyDescent="0.2">
      <c r="A244" s="138"/>
      <c r="B244" s="55"/>
      <c r="C244" s="51"/>
      <c r="D244" s="49"/>
      <c r="E244" s="49"/>
      <c r="F244" s="134"/>
      <c r="G244" s="134"/>
      <c r="H244" s="143"/>
    </row>
    <row r="245" spans="1:8" x14ac:dyDescent="0.2">
      <c r="A245" s="138"/>
      <c r="B245" s="55"/>
      <c r="C245" s="51"/>
      <c r="D245" s="49"/>
      <c r="E245" s="49"/>
      <c r="F245" s="135"/>
      <c r="G245" s="134"/>
      <c r="H245" s="143"/>
    </row>
    <row r="246" spans="1:8" x14ac:dyDescent="0.2">
      <c r="A246" s="138"/>
      <c r="B246" s="55"/>
      <c r="C246" s="51"/>
      <c r="D246" s="49"/>
      <c r="E246" s="49"/>
      <c r="F246" s="135"/>
      <c r="G246" s="135"/>
      <c r="H246" s="143"/>
    </row>
    <row r="247" spans="1:8" x14ac:dyDescent="0.2">
      <c r="A247" s="138"/>
      <c r="B247" s="55"/>
      <c r="C247" s="51"/>
      <c r="D247" s="49"/>
      <c r="E247" s="49"/>
      <c r="F247" s="135"/>
      <c r="G247" s="135"/>
      <c r="H247" s="143"/>
    </row>
    <row r="248" spans="1:8" x14ac:dyDescent="0.2">
      <c r="A248" s="138"/>
      <c r="B248" s="55"/>
      <c r="C248" s="51"/>
      <c r="D248" s="49"/>
      <c r="E248" s="49"/>
      <c r="F248" s="135"/>
      <c r="G248" s="135"/>
      <c r="H248" s="143"/>
    </row>
    <row r="249" spans="1:8" x14ac:dyDescent="0.2">
      <c r="A249" s="138"/>
      <c r="B249" s="55"/>
      <c r="C249" s="51"/>
      <c r="D249" s="49"/>
      <c r="E249" s="49"/>
      <c r="F249" s="135"/>
      <c r="G249" s="135"/>
      <c r="H249" s="143"/>
    </row>
    <row r="250" spans="1:8" x14ac:dyDescent="0.2">
      <c r="A250" s="138"/>
      <c r="B250" s="55"/>
      <c r="C250" s="51"/>
      <c r="D250" s="49"/>
      <c r="E250" s="49"/>
      <c r="F250" s="135"/>
      <c r="G250" s="135"/>
      <c r="H250" s="143"/>
    </row>
    <row r="251" spans="1:8" x14ac:dyDescent="0.2">
      <c r="A251" s="138"/>
      <c r="B251" s="55"/>
      <c r="C251" s="51"/>
      <c r="D251" s="49"/>
      <c r="E251" s="49"/>
      <c r="F251" s="135"/>
      <c r="G251" s="135"/>
      <c r="H251" s="143"/>
    </row>
    <row r="252" spans="1:8" x14ac:dyDescent="0.2">
      <c r="A252" s="138"/>
      <c r="B252" s="55"/>
      <c r="C252" s="51"/>
      <c r="D252" s="49"/>
      <c r="E252" s="49"/>
      <c r="F252" s="135"/>
      <c r="G252" s="135"/>
      <c r="H252" s="143"/>
    </row>
    <row r="253" spans="1:8" x14ac:dyDescent="0.2">
      <c r="A253" s="138"/>
      <c r="B253" s="55"/>
      <c r="C253" s="51"/>
      <c r="D253" s="49"/>
      <c r="E253" s="49"/>
      <c r="F253" s="134"/>
      <c r="G253" s="135"/>
      <c r="H253" s="142"/>
    </row>
    <row r="254" spans="1:8" x14ac:dyDescent="0.2">
      <c r="A254" s="138"/>
      <c r="B254" s="55"/>
      <c r="C254" s="51"/>
      <c r="D254" s="49"/>
      <c r="E254" s="49"/>
      <c r="F254" s="134"/>
      <c r="G254" s="135"/>
      <c r="H254" s="142"/>
    </row>
    <row r="255" spans="1:8" x14ac:dyDescent="0.2">
      <c r="A255" s="138"/>
      <c r="B255" s="55"/>
      <c r="C255" s="51"/>
      <c r="D255" s="49"/>
      <c r="E255" s="49"/>
      <c r="F255" s="134"/>
      <c r="G255" s="135"/>
      <c r="H255" s="142"/>
    </row>
    <row r="256" spans="1:8" x14ac:dyDescent="0.2">
      <c r="A256" s="138"/>
      <c r="B256" s="55"/>
      <c r="C256" s="51"/>
      <c r="D256" s="49"/>
      <c r="E256" s="49"/>
      <c r="F256" s="134"/>
      <c r="G256" s="135"/>
      <c r="H256" s="142"/>
    </row>
    <row r="257" spans="1:8" x14ac:dyDescent="0.2">
      <c r="A257" s="138"/>
      <c r="B257" s="55"/>
      <c r="C257" s="51"/>
      <c r="D257" s="49"/>
      <c r="E257" s="49"/>
      <c r="F257" s="134"/>
      <c r="G257" s="134"/>
      <c r="H257" s="142"/>
    </row>
    <row r="258" spans="1:8" x14ac:dyDescent="0.2">
      <c r="A258" s="138"/>
      <c r="B258" s="55"/>
      <c r="C258" s="51"/>
      <c r="D258" s="49"/>
      <c r="E258" s="49"/>
      <c r="F258" s="134"/>
      <c r="G258" s="134"/>
      <c r="H258" s="142"/>
    </row>
    <row r="259" spans="1:8" x14ac:dyDescent="0.2">
      <c r="A259" s="138"/>
      <c r="B259" s="55"/>
      <c r="C259" s="51"/>
      <c r="D259" s="49"/>
      <c r="E259" s="49"/>
      <c r="F259" s="134"/>
      <c r="G259" s="134"/>
      <c r="H259" s="142"/>
    </row>
    <row r="260" spans="1:8" x14ac:dyDescent="0.2">
      <c r="A260" s="138"/>
      <c r="B260" s="55"/>
      <c r="C260" s="51"/>
      <c r="D260" s="49"/>
      <c r="E260" s="49"/>
      <c r="F260" s="134"/>
      <c r="G260" s="134"/>
      <c r="H260" s="142"/>
    </row>
    <row r="261" spans="1:8" x14ac:dyDescent="0.2">
      <c r="A261" s="138"/>
      <c r="B261" s="55"/>
      <c r="C261" s="51"/>
      <c r="D261" s="49"/>
      <c r="E261" s="49"/>
      <c r="F261" s="134"/>
      <c r="G261" s="134"/>
      <c r="H261" s="142"/>
    </row>
    <row r="262" spans="1:8" x14ac:dyDescent="0.2">
      <c r="A262" s="138"/>
      <c r="B262" s="55"/>
      <c r="C262" s="51"/>
      <c r="D262" s="49"/>
      <c r="E262" s="49"/>
      <c r="F262" s="134"/>
      <c r="G262" s="134"/>
      <c r="H262" s="142"/>
    </row>
    <row r="263" spans="1:8" x14ac:dyDescent="0.2">
      <c r="A263" s="138"/>
      <c r="B263" s="55"/>
      <c r="C263" s="51"/>
      <c r="D263" s="49"/>
      <c r="E263" s="49"/>
      <c r="F263" s="134"/>
      <c r="G263" s="134"/>
      <c r="H263" s="142"/>
    </row>
    <row r="264" spans="1:8" x14ac:dyDescent="0.2">
      <c r="A264" s="138"/>
      <c r="B264" s="55"/>
      <c r="C264" s="51"/>
      <c r="D264" s="49"/>
      <c r="E264" s="49"/>
      <c r="F264" s="134"/>
      <c r="G264" s="134"/>
      <c r="H264" s="142"/>
    </row>
    <row r="265" spans="1:8" x14ac:dyDescent="0.2">
      <c r="A265" s="138"/>
      <c r="B265" s="55"/>
      <c r="C265" s="51"/>
      <c r="D265" s="49"/>
      <c r="E265" s="49"/>
      <c r="F265" s="134"/>
      <c r="G265" s="134"/>
      <c r="H265" s="142"/>
    </row>
    <row r="266" spans="1:8" x14ac:dyDescent="0.2">
      <c r="A266" s="138"/>
      <c r="B266" s="55"/>
      <c r="C266" s="51"/>
      <c r="D266" s="49"/>
      <c r="E266" s="49"/>
      <c r="F266" s="134"/>
      <c r="G266" s="134"/>
      <c r="H266" s="142"/>
    </row>
    <row r="267" spans="1:8" x14ac:dyDescent="0.2">
      <c r="A267" s="138"/>
      <c r="B267" s="55"/>
      <c r="C267" s="51"/>
      <c r="D267" s="49"/>
      <c r="E267" s="49"/>
      <c r="F267" s="134"/>
      <c r="G267" s="134"/>
      <c r="H267" s="142"/>
    </row>
    <row r="268" spans="1:8" x14ac:dyDescent="0.2">
      <c r="A268" s="138"/>
      <c r="B268" s="55"/>
      <c r="C268" s="51"/>
      <c r="D268" s="49"/>
      <c r="E268" s="49"/>
      <c r="F268" s="134"/>
      <c r="G268" s="134"/>
      <c r="H268" s="142"/>
    </row>
    <row r="269" spans="1:8" x14ac:dyDescent="0.2">
      <c r="A269" s="138"/>
      <c r="B269" s="55"/>
      <c r="C269" s="51"/>
      <c r="D269" s="49"/>
      <c r="E269" s="49"/>
      <c r="F269" s="134"/>
      <c r="G269" s="134"/>
      <c r="H269" s="142"/>
    </row>
    <row r="270" spans="1:8" x14ac:dyDescent="0.2">
      <c r="A270" s="138"/>
      <c r="B270" s="55"/>
      <c r="C270" s="51"/>
      <c r="D270" s="49"/>
      <c r="E270" s="49"/>
      <c r="F270" s="134"/>
      <c r="G270" s="134"/>
      <c r="H270" s="142"/>
    </row>
    <row r="271" spans="1:8" x14ac:dyDescent="0.2">
      <c r="A271" s="138"/>
      <c r="B271" s="55"/>
      <c r="C271" s="51"/>
      <c r="D271" s="49"/>
      <c r="E271" s="49"/>
      <c r="F271" s="134"/>
      <c r="G271" s="134"/>
      <c r="H271" s="142"/>
    </row>
    <row r="272" spans="1:8" x14ac:dyDescent="0.2">
      <c r="A272" s="138"/>
      <c r="B272" s="55"/>
      <c r="C272" s="51"/>
      <c r="D272" s="49"/>
      <c r="E272" s="49"/>
      <c r="F272" s="134"/>
      <c r="G272" s="134"/>
      <c r="H272" s="142"/>
    </row>
    <row r="273" spans="1:8" x14ac:dyDescent="0.2">
      <c r="A273" s="138"/>
      <c r="B273" s="55"/>
      <c r="C273" s="51"/>
      <c r="D273" s="49"/>
      <c r="E273" s="49"/>
      <c r="F273" s="134"/>
      <c r="G273" s="134"/>
      <c r="H273" s="142"/>
    </row>
    <row r="274" spans="1:8" x14ac:dyDescent="0.2">
      <c r="A274" s="138"/>
      <c r="B274" s="55"/>
      <c r="C274" s="51"/>
      <c r="D274" s="49"/>
      <c r="E274" s="49"/>
      <c r="F274" s="134"/>
      <c r="G274" s="134"/>
      <c r="H274" s="142"/>
    </row>
    <row r="275" spans="1:8" x14ac:dyDescent="0.2">
      <c r="A275" s="138"/>
      <c r="B275" s="55"/>
      <c r="C275" s="51"/>
      <c r="D275" s="49"/>
      <c r="E275" s="49"/>
      <c r="F275" s="134"/>
      <c r="G275" s="134"/>
      <c r="H275" s="142"/>
    </row>
    <row r="276" spans="1:8" x14ac:dyDescent="0.2">
      <c r="A276" s="138"/>
      <c r="B276" s="55"/>
      <c r="C276" s="51"/>
      <c r="D276" s="49"/>
      <c r="E276" s="51"/>
      <c r="F276" s="135"/>
      <c r="G276" s="135"/>
      <c r="H276" s="143"/>
    </row>
    <row r="277" spans="1:8" x14ac:dyDescent="0.2">
      <c r="A277" s="138"/>
      <c r="B277" s="55"/>
      <c r="C277" s="51"/>
      <c r="D277" s="49"/>
      <c r="E277" s="51"/>
      <c r="F277" s="135"/>
      <c r="G277" s="135"/>
      <c r="H277" s="143"/>
    </row>
    <row r="278" spans="1:8" x14ac:dyDescent="0.2">
      <c r="A278" s="138"/>
      <c r="B278" s="55"/>
      <c r="C278" s="51"/>
      <c r="D278" s="49"/>
      <c r="E278" s="51"/>
      <c r="F278" s="135"/>
      <c r="G278" s="135"/>
      <c r="H278" s="143"/>
    </row>
    <row r="279" spans="1:8" x14ac:dyDescent="0.2">
      <c r="A279" s="138"/>
      <c r="B279" s="55"/>
      <c r="C279" s="51"/>
      <c r="D279" s="49"/>
      <c r="E279" s="51"/>
      <c r="F279" s="135"/>
      <c r="G279" s="135"/>
      <c r="H279" s="143"/>
    </row>
    <row r="280" spans="1:8" x14ac:dyDescent="0.2">
      <c r="A280" s="138"/>
      <c r="B280" s="55"/>
      <c r="C280" s="51"/>
      <c r="D280" s="49"/>
      <c r="E280" s="51"/>
      <c r="F280" s="135"/>
      <c r="G280" s="135"/>
      <c r="H280" s="143"/>
    </row>
    <row r="281" spans="1:8" x14ac:dyDescent="0.2">
      <c r="A281" s="138"/>
      <c r="B281" s="55"/>
      <c r="C281" s="51"/>
      <c r="D281" s="49"/>
      <c r="E281" s="51"/>
      <c r="F281" s="135"/>
      <c r="G281" s="135"/>
      <c r="H281" s="143"/>
    </row>
    <row r="282" spans="1:8" x14ac:dyDescent="0.2">
      <c r="A282" s="138"/>
      <c r="B282" s="55"/>
      <c r="C282" s="51"/>
      <c r="D282" s="49"/>
      <c r="E282" s="51"/>
      <c r="F282" s="135"/>
      <c r="G282" s="135"/>
      <c r="H282" s="143"/>
    </row>
    <row r="283" spans="1:8" x14ac:dyDescent="0.2">
      <c r="A283" s="138"/>
      <c r="B283" s="55"/>
      <c r="C283" s="51"/>
      <c r="D283" s="49"/>
      <c r="E283" s="51"/>
      <c r="F283" s="135"/>
      <c r="G283" s="135"/>
      <c r="H283" s="143"/>
    </row>
    <row r="284" spans="1:8" x14ac:dyDescent="0.2">
      <c r="A284" s="138"/>
      <c r="B284" s="55"/>
      <c r="C284" s="51"/>
      <c r="D284" s="49"/>
      <c r="E284" s="51"/>
      <c r="F284" s="135"/>
      <c r="G284" s="135"/>
      <c r="H284" s="143"/>
    </row>
    <row r="285" spans="1:8" x14ac:dyDescent="0.2">
      <c r="A285" s="138"/>
      <c r="B285" s="55"/>
      <c r="C285" s="51"/>
      <c r="D285" s="49"/>
      <c r="E285" s="51"/>
      <c r="F285" s="136"/>
      <c r="G285" s="135"/>
      <c r="H285" s="143"/>
    </row>
    <row r="286" spans="1:8" x14ac:dyDescent="0.2">
      <c r="A286" s="138"/>
      <c r="B286" s="55"/>
      <c r="C286" s="51"/>
      <c r="D286" s="49"/>
      <c r="E286" s="51"/>
      <c r="F286" s="135"/>
      <c r="G286" s="135"/>
      <c r="H286" s="143"/>
    </row>
    <row r="287" spans="1:8" x14ac:dyDescent="0.2">
      <c r="A287" s="138"/>
      <c r="B287" s="55"/>
      <c r="C287" s="51"/>
      <c r="D287" s="49"/>
      <c r="E287" s="51"/>
      <c r="F287" s="135"/>
      <c r="G287" s="135"/>
      <c r="H287" s="143"/>
    </row>
    <row r="288" spans="1:8" x14ac:dyDescent="0.2">
      <c r="A288" s="138"/>
      <c r="B288" s="55"/>
      <c r="C288" s="51"/>
      <c r="D288" s="49"/>
      <c r="E288" s="51"/>
      <c r="F288" s="135"/>
      <c r="G288" s="135"/>
      <c r="H288" s="143"/>
    </row>
    <row r="289" spans="1:8" x14ac:dyDescent="0.2">
      <c r="A289" s="138"/>
      <c r="B289" s="55"/>
      <c r="C289" s="51"/>
      <c r="D289" s="49"/>
      <c r="E289" s="51"/>
      <c r="F289" s="135"/>
      <c r="G289" s="135"/>
      <c r="H289" s="143"/>
    </row>
    <row r="290" spans="1:8" x14ac:dyDescent="0.2">
      <c r="A290" s="138"/>
      <c r="B290" s="55"/>
      <c r="C290" s="51"/>
      <c r="D290" s="49"/>
      <c r="E290" s="51"/>
      <c r="F290" s="135"/>
      <c r="G290" s="135"/>
      <c r="H290" s="143"/>
    </row>
    <row r="291" spans="1:8" x14ac:dyDescent="0.2">
      <c r="A291" s="138"/>
      <c r="B291" s="55"/>
      <c r="C291" s="51"/>
      <c r="D291" s="49"/>
      <c r="E291" s="51"/>
      <c r="F291" s="135"/>
      <c r="G291" s="135"/>
      <c r="H291" s="143"/>
    </row>
    <row r="292" spans="1:8" x14ac:dyDescent="0.2">
      <c r="A292" s="138"/>
      <c r="B292" s="55"/>
      <c r="C292" s="51"/>
      <c r="D292" s="49"/>
      <c r="E292" s="51"/>
      <c r="F292" s="135"/>
      <c r="G292" s="135"/>
      <c r="H292" s="143"/>
    </row>
    <row r="293" spans="1:8" x14ac:dyDescent="0.2">
      <c r="A293" s="138"/>
      <c r="B293" s="55"/>
      <c r="C293" s="51"/>
      <c r="D293" s="49"/>
      <c r="E293" s="51"/>
      <c r="F293" s="135"/>
      <c r="G293" s="135"/>
      <c r="H293" s="143"/>
    </row>
    <row r="294" spans="1:8" x14ac:dyDescent="0.2">
      <c r="A294" s="138"/>
      <c r="B294" s="55"/>
      <c r="C294" s="51"/>
      <c r="D294" s="49"/>
      <c r="E294" s="51"/>
      <c r="F294" s="135"/>
      <c r="G294" s="135"/>
      <c r="H294" s="143"/>
    </row>
    <row r="295" spans="1:8" x14ac:dyDescent="0.2">
      <c r="A295" s="138"/>
      <c r="B295" s="55"/>
      <c r="C295" s="51"/>
      <c r="D295" s="49"/>
      <c r="E295" s="51"/>
      <c r="F295" s="135"/>
      <c r="G295" s="135"/>
      <c r="H295" s="143"/>
    </row>
    <row r="296" spans="1:8" x14ac:dyDescent="0.2">
      <c r="A296" s="138"/>
      <c r="B296" s="55"/>
      <c r="C296" s="49"/>
      <c r="D296" s="49"/>
      <c r="E296" s="51"/>
      <c r="F296" s="135"/>
      <c r="G296" s="135"/>
      <c r="H296" s="143"/>
    </row>
    <row r="297" spans="1:8" x14ac:dyDescent="0.2">
      <c r="A297" s="138"/>
      <c r="B297" s="55"/>
      <c r="C297" s="49"/>
      <c r="D297" s="49"/>
      <c r="E297" s="49"/>
      <c r="F297" s="134"/>
      <c r="G297" s="134"/>
      <c r="H297" s="142"/>
    </row>
    <row r="298" spans="1:8" x14ac:dyDescent="0.2">
      <c r="A298" s="138"/>
      <c r="B298" s="55"/>
      <c r="C298" s="51"/>
      <c r="D298" s="49"/>
      <c r="E298" s="51"/>
      <c r="F298" s="134"/>
      <c r="G298" s="134"/>
      <c r="H298" s="142"/>
    </row>
    <row r="299" spans="1:8" x14ac:dyDescent="0.2">
      <c r="A299" s="138"/>
      <c r="B299" s="55"/>
      <c r="C299" s="51"/>
      <c r="D299" s="49"/>
      <c r="E299" s="51"/>
      <c r="F299" s="134"/>
      <c r="G299" s="135"/>
      <c r="H299" s="142"/>
    </row>
    <row r="300" spans="1:8" x14ac:dyDescent="0.2">
      <c r="A300" s="138"/>
      <c r="B300" s="55"/>
      <c r="C300" s="51"/>
      <c r="D300" s="49"/>
      <c r="E300" s="51"/>
      <c r="F300" s="134"/>
      <c r="G300" s="135"/>
      <c r="H300" s="142"/>
    </row>
    <row r="301" spans="1:8" x14ac:dyDescent="0.2">
      <c r="A301" s="138"/>
      <c r="B301" s="55"/>
      <c r="C301" s="49"/>
      <c r="D301" s="49"/>
      <c r="E301" s="51"/>
      <c r="F301" s="134"/>
      <c r="G301" s="135"/>
      <c r="H301" s="142"/>
    </row>
    <row r="302" spans="1:8" x14ac:dyDescent="0.2">
      <c r="A302" s="138"/>
      <c r="B302" s="55"/>
      <c r="C302" s="51"/>
      <c r="D302" s="49"/>
      <c r="E302" s="49"/>
      <c r="F302" s="135"/>
      <c r="G302" s="134"/>
      <c r="H302" s="143"/>
    </row>
    <row r="303" spans="1:8" x14ac:dyDescent="0.2">
      <c r="A303" s="138"/>
      <c r="B303" s="55"/>
      <c r="C303" s="51"/>
      <c r="D303" s="49"/>
      <c r="E303" s="49"/>
      <c r="F303" s="135"/>
      <c r="G303" s="134"/>
      <c r="H303" s="143"/>
    </row>
    <row r="304" spans="1:8" x14ac:dyDescent="0.2">
      <c r="B304" s="55"/>
      <c r="C304" s="51"/>
      <c r="D304" s="49"/>
      <c r="E304" s="49"/>
      <c r="F304" s="134"/>
      <c r="G304" s="134"/>
      <c r="H304" s="142"/>
    </row>
    <row r="305" spans="2:8" x14ac:dyDescent="0.2">
      <c r="B305" s="55"/>
      <c r="C305" s="51"/>
      <c r="D305" s="49"/>
      <c r="E305" s="49"/>
      <c r="F305" s="134"/>
      <c r="G305" s="134"/>
      <c r="H305" s="142"/>
    </row>
    <row r="306" spans="2:8" x14ac:dyDescent="0.2">
      <c r="B306" s="55"/>
      <c r="C306" s="49"/>
      <c r="D306" s="49"/>
      <c r="E306" s="49"/>
      <c r="F306" s="134"/>
      <c r="G306" s="134"/>
      <c r="H306" s="142"/>
    </row>
    <row r="307" spans="2:8" x14ac:dyDescent="0.2">
      <c r="B307" s="55"/>
      <c r="C307" s="49"/>
      <c r="D307" s="49"/>
      <c r="E307" s="49"/>
      <c r="F307" s="134"/>
      <c r="G307" s="134"/>
      <c r="H307" s="142"/>
    </row>
    <row r="308" spans="2:8" x14ac:dyDescent="0.2">
      <c r="B308" s="55"/>
      <c r="C308" s="49"/>
      <c r="D308" s="49"/>
      <c r="E308" s="49"/>
      <c r="F308" s="134"/>
      <c r="G308" s="134"/>
      <c r="H308" s="142"/>
    </row>
    <row r="309" spans="2:8" x14ac:dyDescent="0.2">
      <c r="B309" s="55"/>
      <c r="C309" s="49"/>
      <c r="D309" s="49"/>
      <c r="E309" s="49"/>
      <c r="F309" s="134"/>
      <c r="G309" s="134"/>
      <c r="H309" s="142"/>
    </row>
    <row r="310" spans="2:8" x14ac:dyDescent="0.2">
      <c r="B310" s="55"/>
      <c r="C310" s="49"/>
      <c r="D310" s="49"/>
      <c r="E310" s="49"/>
      <c r="F310" s="134"/>
      <c r="G310" s="134"/>
      <c r="H310" s="142"/>
    </row>
    <row r="311" spans="2:8" x14ac:dyDescent="0.2">
      <c r="H311" s="144"/>
    </row>
    <row r="312" spans="2:8" x14ac:dyDescent="0.2">
      <c r="H312" s="145"/>
    </row>
    <row r="313" spans="2:8" x14ac:dyDescent="0.2">
      <c r="H313" s="145"/>
    </row>
    <row r="314" spans="2:8" x14ac:dyDescent="0.2">
      <c r="H314" s="145"/>
    </row>
    <row r="315" spans="2:8" x14ac:dyDescent="0.2">
      <c r="H315" s="145"/>
    </row>
    <row r="316" spans="2:8" x14ac:dyDescent="0.2">
      <c r="H316" s="145"/>
    </row>
    <row r="317" spans="2:8" x14ac:dyDescent="0.2">
      <c r="H317" s="145"/>
    </row>
    <row r="318" spans="2:8" x14ac:dyDescent="0.2">
      <c r="H318" s="145"/>
    </row>
    <row r="319" spans="2:8" x14ac:dyDescent="0.2">
      <c r="H319" s="145"/>
    </row>
    <row r="320" spans="2:8" x14ac:dyDescent="0.2">
      <c r="H320" s="145"/>
    </row>
    <row r="321" spans="8:8" x14ac:dyDescent="0.2">
      <c r="H321" s="145"/>
    </row>
    <row r="322" spans="8:8" x14ac:dyDescent="0.2">
      <c r="H322" s="145"/>
    </row>
    <row r="323" spans="8:8" x14ac:dyDescent="0.2">
      <c r="H323" s="145"/>
    </row>
    <row r="324" spans="8:8" x14ac:dyDescent="0.2">
      <c r="H324" s="145"/>
    </row>
    <row r="325" spans="8:8" x14ac:dyDescent="0.2">
      <c r="H325" s="145"/>
    </row>
    <row r="326" spans="8:8" x14ac:dyDescent="0.2">
      <c r="H326" s="145"/>
    </row>
    <row r="327" spans="8:8" x14ac:dyDescent="0.2">
      <c r="H327" s="145"/>
    </row>
    <row r="328" spans="8:8" x14ac:dyDescent="0.2">
      <c r="H328" s="145"/>
    </row>
    <row r="329" spans="8:8" x14ac:dyDescent="0.2">
      <c r="H329" s="145"/>
    </row>
    <row r="330" spans="8:8" x14ac:dyDescent="0.2">
      <c r="H330" s="145"/>
    </row>
    <row r="331" spans="8:8" x14ac:dyDescent="0.2">
      <c r="H331" s="145"/>
    </row>
    <row r="332" spans="8:8" x14ac:dyDescent="0.2">
      <c r="H332" s="145"/>
    </row>
    <row r="333" spans="8:8" x14ac:dyDescent="0.2">
      <c r="H333" s="145"/>
    </row>
    <row r="334" spans="8:8" x14ac:dyDescent="0.2">
      <c r="H334" s="145"/>
    </row>
    <row r="335" spans="8:8" x14ac:dyDescent="0.2">
      <c r="H335" s="145"/>
    </row>
    <row r="336" spans="8:8" x14ac:dyDescent="0.2">
      <c r="H336" s="145"/>
    </row>
    <row r="337" spans="8:8" x14ac:dyDescent="0.2">
      <c r="H337" s="145"/>
    </row>
    <row r="338" spans="8:8" x14ac:dyDescent="0.2">
      <c r="H338" s="145"/>
    </row>
  </sheetData>
  <autoFilter ref="A4:H191" xr:uid="{00000000-0001-0000-0600-000000000000}">
    <sortState xmlns:xlrd2="http://schemas.microsoft.com/office/spreadsheetml/2017/richdata2" ref="A5:H191">
      <sortCondition ref="C4:C191"/>
    </sortState>
  </autoFilter>
  <phoneticPr fontId="4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155BA12B-20B8-43D2-90B0-74D645A282FE}">
          <x14:formula1>
            <xm:f>'Do Not Edit'!$J$2:$J$13</xm:f>
          </x14:formula1>
          <xm:sqref>B5:B339</xm:sqref>
        </x14:dataValidation>
        <x14:dataValidation type="list" showInputMessage="1" showErrorMessage="1" xr:uid="{00000000-0002-0000-0600-000001000000}">
          <x14:formula1>
            <xm:f>'Do Not Edit'!$E$2:$E$21</xm:f>
          </x14:formula1>
          <xm:sqref>D13:E13 D5:D12 D159:D233 D14:D154</xm:sqref>
        </x14:dataValidation>
        <x14:dataValidation type="list" showInputMessage="1" showErrorMessage="1" xr:uid="{CFA6F60B-FA8D-4519-9A06-491D6674728E}">
          <x14:formula1>
            <xm:f>'Beneficiary Agency Database'!$A$5:$A$490</xm:f>
          </x14:formula1>
          <xm:sqref>C5:C302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42.83203125" customWidth="1"/>
    <col min="3" max="3" width="30.5" customWidth="1"/>
    <col min="5" max="5" width="30.5" style="32" customWidth="1"/>
    <col min="6" max="6" width="30.5" customWidth="1"/>
    <col min="8" max="8" width="30.5" customWidth="1"/>
    <col min="10" max="10" width="30.5" customWidth="1"/>
  </cols>
  <sheetData>
    <row r="1" spans="1:12" ht="32" x14ac:dyDescent="0.2">
      <c r="A1" s="7" t="s">
        <v>66</v>
      </c>
      <c r="C1" s="11" t="s">
        <v>67</v>
      </c>
      <c r="E1" s="7" t="s">
        <v>62</v>
      </c>
      <c r="F1" s="7" t="s">
        <v>108</v>
      </c>
      <c r="H1" s="7" t="s">
        <v>63</v>
      </c>
      <c r="J1" s="7" t="s">
        <v>82</v>
      </c>
      <c r="L1" s="21" t="s">
        <v>90</v>
      </c>
    </row>
    <row r="2" spans="1:12" ht="16" x14ac:dyDescent="0.2">
      <c r="A2" t="s">
        <v>47</v>
      </c>
      <c r="C2" t="s">
        <v>28</v>
      </c>
      <c r="E2" s="32" t="s">
        <v>15</v>
      </c>
      <c r="F2" s="31" t="s">
        <v>95</v>
      </c>
      <c r="H2" t="s">
        <v>41</v>
      </c>
      <c r="J2" t="s">
        <v>70</v>
      </c>
    </row>
    <row r="3" spans="1:12" ht="32" x14ac:dyDescent="0.2">
      <c r="A3" t="s">
        <v>45</v>
      </c>
      <c r="C3" t="s">
        <v>33</v>
      </c>
      <c r="E3" s="32" t="s">
        <v>23</v>
      </c>
      <c r="F3" s="31" t="s">
        <v>107</v>
      </c>
      <c r="H3" t="s">
        <v>42</v>
      </c>
      <c r="J3" t="s">
        <v>71</v>
      </c>
    </row>
    <row r="4" spans="1:12" ht="32" x14ac:dyDescent="0.2">
      <c r="A4" t="s">
        <v>44</v>
      </c>
      <c r="C4" t="s">
        <v>30</v>
      </c>
      <c r="E4" s="32" t="s">
        <v>24</v>
      </c>
      <c r="F4" s="31" t="s">
        <v>106</v>
      </c>
      <c r="J4" t="s">
        <v>72</v>
      </c>
    </row>
    <row r="5" spans="1:12" x14ac:dyDescent="0.2">
      <c r="A5" t="s">
        <v>48</v>
      </c>
      <c r="C5" t="s">
        <v>31</v>
      </c>
      <c r="E5" s="32" t="s">
        <v>22</v>
      </c>
      <c r="F5" s="31"/>
      <c r="J5" t="s">
        <v>73</v>
      </c>
    </row>
    <row r="6" spans="1:12" ht="48" x14ac:dyDescent="0.2">
      <c r="A6" t="s">
        <v>49</v>
      </c>
      <c r="C6" t="s">
        <v>32</v>
      </c>
      <c r="E6" s="32" t="s">
        <v>14</v>
      </c>
      <c r="F6" s="31" t="s">
        <v>96</v>
      </c>
      <c r="J6" t="s">
        <v>74</v>
      </c>
    </row>
    <row r="7" spans="1:12" ht="96" x14ac:dyDescent="0.2">
      <c r="A7" t="s">
        <v>37</v>
      </c>
      <c r="C7" t="s">
        <v>29</v>
      </c>
      <c r="E7" s="32" t="s">
        <v>11</v>
      </c>
      <c r="F7" s="31" t="s">
        <v>97</v>
      </c>
      <c r="J7" t="s">
        <v>75</v>
      </c>
    </row>
    <row r="8" spans="1:12" ht="16" x14ac:dyDescent="0.2">
      <c r="A8" t="s">
        <v>46</v>
      </c>
      <c r="C8" t="s">
        <v>34</v>
      </c>
      <c r="E8" s="32" t="s">
        <v>12</v>
      </c>
      <c r="F8" s="31" t="s">
        <v>98</v>
      </c>
      <c r="J8" t="s">
        <v>76</v>
      </c>
    </row>
    <row r="9" spans="1:12" ht="48" x14ac:dyDescent="0.2">
      <c r="C9" t="s">
        <v>320</v>
      </c>
      <c r="E9" s="32" t="s">
        <v>13</v>
      </c>
      <c r="F9" s="31" t="s">
        <v>99</v>
      </c>
      <c r="J9" t="s">
        <v>77</v>
      </c>
    </row>
    <row r="10" spans="1:12" ht="48" x14ac:dyDescent="0.2">
      <c r="C10" t="s">
        <v>37</v>
      </c>
      <c r="E10" s="32" t="s">
        <v>16</v>
      </c>
      <c r="F10" s="31" t="s">
        <v>100</v>
      </c>
      <c r="J10" t="s">
        <v>78</v>
      </c>
    </row>
    <row r="11" spans="1:12" x14ac:dyDescent="0.2">
      <c r="E11" s="32" t="s">
        <v>148</v>
      </c>
      <c r="J11" t="s">
        <v>79</v>
      </c>
    </row>
    <row r="12" spans="1:12" x14ac:dyDescent="0.2">
      <c r="E12" s="32" t="s">
        <v>147</v>
      </c>
      <c r="J12" t="s">
        <v>80</v>
      </c>
    </row>
    <row r="13" spans="1:12" x14ac:dyDescent="0.2">
      <c r="E13" s="32" t="s">
        <v>149</v>
      </c>
      <c r="J13" t="s">
        <v>81</v>
      </c>
    </row>
    <row r="14" spans="1:12" x14ac:dyDescent="0.2">
      <c r="E14" s="32" t="s">
        <v>146</v>
      </c>
      <c r="F14" s="31"/>
    </row>
    <row r="15" spans="1:12" ht="16" x14ac:dyDescent="0.2">
      <c r="E15" s="32" t="s">
        <v>168</v>
      </c>
      <c r="F15" s="31" t="s">
        <v>167</v>
      </c>
    </row>
    <row r="16" spans="1:12" ht="48" x14ac:dyDescent="0.2">
      <c r="E16" s="32" t="s">
        <v>25</v>
      </c>
      <c r="F16" s="31" t="s">
        <v>101</v>
      </c>
    </row>
    <row r="17" spans="5:6" ht="48" x14ac:dyDescent="0.2">
      <c r="E17" s="32" t="s">
        <v>17</v>
      </c>
      <c r="F17" s="31" t="s">
        <v>103</v>
      </c>
    </row>
    <row r="18" spans="5:6" ht="32" x14ac:dyDescent="0.2">
      <c r="E18" s="32" t="s">
        <v>19</v>
      </c>
      <c r="F18" s="31" t="s">
        <v>102</v>
      </c>
    </row>
    <row r="19" spans="5:6" ht="16" x14ac:dyDescent="0.2">
      <c r="E19" s="32" t="s">
        <v>20</v>
      </c>
      <c r="F19" s="31" t="s">
        <v>104</v>
      </c>
    </row>
    <row r="20" spans="5:6" x14ac:dyDescent="0.2">
      <c r="E20" s="32" t="s">
        <v>21</v>
      </c>
      <c r="F20" s="31"/>
    </row>
    <row r="21" spans="5:6" ht="32" x14ac:dyDescent="0.2">
      <c r="E21" s="32" t="s">
        <v>18</v>
      </c>
      <c r="F21" s="31" t="s">
        <v>105</v>
      </c>
    </row>
    <row r="22" spans="5:6" x14ac:dyDescent="0.2">
      <c r="E22" s="32" t="s">
        <v>26</v>
      </c>
      <c r="F22" s="31"/>
    </row>
  </sheetData>
  <autoFilter ref="A1:A7" xr:uid="{00000000-0001-0000-0700-000000000000}">
    <sortState xmlns:xlrd2="http://schemas.microsoft.com/office/spreadsheetml/2017/richdata2" ref="A2:A8">
      <sortCondition ref="A1:A7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 USE</vt:lpstr>
      <vt:lpstr>VIEW ONLY Dashboard</vt:lpstr>
      <vt:lpstr>VIEW ONLY Realtime Inventory</vt:lpstr>
      <vt:lpstr>Beneficiary Agency Database</vt:lpstr>
      <vt:lpstr>Food Donor Database</vt:lpstr>
      <vt:lpstr>Product In</vt:lpstr>
      <vt:lpstr>Product Out</vt:lpstr>
      <vt:lpstr>Do Not 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Quek</dc:creator>
  <cp:lastModifiedBy>Microsoft Office User</cp:lastModifiedBy>
  <dcterms:created xsi:type="dcterms:W3CDTF">2024-02-09T03:45:09Z</dcterms:created>
  <dcterms:modified xsi:type="dcterms:W3CDTF">2025-02-28T17:04:02Z</dcterms:modified>
</cp:coreProperties>
</file>